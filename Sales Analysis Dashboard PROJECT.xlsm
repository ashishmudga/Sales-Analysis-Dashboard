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hidePivotFieldList="1"/>
  <mc:AlternateContent xmlns:mc="http://schemas.openxmlformats.org/markup-compatibility/2006">
    <mc:Choice Requires="x15">
      <x15ac:absPath xmlns:x15ac="http://schemas.microsoft.com/office/spreadsheetml/2010/11/ac" url="D:\Ms Excel Practicd\"/>
    </mc:Choice>
  </mc:AlternateContent>
  <xr:revisionPtr revIDLastSave="0" documentId="8_{8440D183-A00A-4CB3-B88E-83B575F3770B}" xr6:coauthVersionLast="47" xr6:coauthVersionMax="47" xr10:uidLastSave="{00000000-0000-0000-0000-000000000000}"/>
  <bookViews>
    <workbookView xWindow="-108" yWindow="-108" windowWidth="23256" windowHeight="12456" tabRatio="714" firstSheet="4" activeTab="4" xr2:uid="{00000000-000D-0000-FFFF-FFFF00000000}"/>
  </bookViews>
  <sheets>
    <sheet name="FIRM WISE" sheetId="2" state="hidden" r:id="rId1"/>
    <sheet name="MONTH WISE" sheetId="4" state="hidden" r:id="rId2"/>
    <sheet name="TAX WISE" sheetId="5" state="hidden" r:id="rId3"/>
    <sheet name="PRODUCT WISE" sheetId="6" state="hidden" r:id="rId4"/>
    <sheet name="Sheet2" sheetId="8" r:id="rId5"/>
    <sheet name="DATA" sheetId="1" r:id="rId6"/>
    <sheet name="Sales Analysis Dasboard" sheetId="9" r:id="rId7"/>
    <sheet name="Sheet4" sheetId="10" r:id="rId8"/>
  </sheets>
  <definedNames>
    <definedName name="Slicer_Description_of_Goods">#N/A</definedName>
    <definedName name="Slicer_Description_of_Goods1">#N/A</definedName>
    <definedName name="Slicer_Firm_Name">#N/A</definedName>
    <definedName name="Slicer_Months__Date">#N/A</definedName>
    <definedName name="Slicer_State">#N/A</definedName>
    <definedName name="Slicer_Tax_Rate">#N/A</definedName>
  </definedNames>
  <calcPr calcId="191029"/>
  <pivotCaches>
    <pivotCache cacheId="0" r:id="rId9"/>
    <pivotCache cacheId="9"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<sst xmlns="http://schemas.openxmlformats.org/spreadsheetml/2006/main" count="217" uniqueCount="46">
  <si>
    <t xml:space="preserve">Firm Name </t>
  </si>
  <si>
    <t>State</t>
  </si>
  <si>
    <t>Invoice No.</t>
  </si>
  <si>
    <t>Date</t>
  </si>
  <si>
    <t>Tax Rate</t>
  </si>
  <si>
    <t>Description of Goods</t>
  </si>
  <si>
    <t>Qty</t>
  </si>
  <si>
    <t>Unit</t>
  </si>
  <si>
    <t>Rate</t>
  </si>
  <si>
    <t>Taxable Value</t>
  </si>
  <si>
    <t>IGST</t>
  </si>
  <si>
    <t>CGST</t>
  </si>
  <si>
    <t>SGST</t>
  </si>
  <si>
    <t>CESS</t>
  </si>
  <si>
    <t>TOTAL</t>
  </si>
  <si>
    <t>INVOICE VALUE</t>
  </si>
  <si>
    <t>JK Enterprise</t>
  </si>
  <si>
    <t>Local</t>
  </si>
  <si>
    <t>Plywood 6mm</t>
  </si>
  <si>
    <t>PCS</t>
  </si>
  <si>
    <t>Plywood 4mm</t>
  </si>
  <si>
    <t>INTERSTATE</t>
  </si>
  <si>
    <t>SR Hardware</t>
  </si>
  <si>
    <t>LOCAL</t>
  </si>
  <si>
    <t>Row Labels</t>
  </si>
  <si>
    <t>Grand Total</t>
  </si>
  <si>
    <t>Sum of TOTAL</t>
  </si>
  <si>
    <t>Apr</t>
  </si>
  <si>
    <t>May</t>
  </si>
  <si>
    <t>Jun</t>
  </si>
  <si>
    <t>Jul</t>
  </si>
  <si>
    <t>Sum of IGST</t>
  </si>
  <si>
    <t>Sum of CGST</t>
  </si>
  <si>
    <t>Sum of SGST</t>
  </si>
  <si>
    <t>Count of CESS</t>
  </si>
  <si>
    <t>FIRM WISE</t>
  </si>
  <si>
    <t>MONTH WISE</t>
  </si>
  <si>
    <t>TAX WISE</t>
  </si>
  <si>
    <t>PRODUCT WISE</t>
  </si>
  <si>
    <t>STATE WISE</t>
  </si>
  <si>
    <t>SALES ANALYSIS DASHBOARD</t>
  </si>
  <si>
    <t>2020</t>
  </si>
  <si>
    <t>2021</t>
  </si>
  <si>
    <t>Sum of Tax Rate</t>
  </si>
  <si>
    <t>Sum of  FIRM WISE</t>
  </si>
  <si>
    <t>Sum of MONTH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</si>
</sst>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 x14ac:knownFonts="1">
    <font>
      <sz val="11"/>
      <color theme="1"/>
      <name val="Calibri"/>
      <family val="2"/>
      <scheme val="minor"/>
    </font>
    <font>
      <sz val="11"/>
      <color theme="1"/>
      <name val="Calibri"/>
      <family val="2"/>
      <scheme val="minor"/>
    </font>
    <font>
      <sz val="12"/>
      <color theme="1"/>
      <name val="Calibri"/>
      <family val="2"/>
      <scheme val="minor"/>
    </font>
    <font>
      <b/>
      <sz val="14"/>
      <color theme="0"/>
      <name val="Calibri"/>
      <family val="2"/>
      <scheme val="minor"/>
    </font>
    <font>
      <sz val="18"/>
      <color theme="3"/>
      <name val="Calibri Light"/>
      <family val="2"/>
      <scheme val="major"/>
    </font>
    <font>
      <sz val="14"/>
      <color theme="1"/>
      <name val="Calibri"/>
      <family val="2"/>
      <scheme val="minor"/>
    </font>
    <font>
      <sz val="16"/>
      <color theme="1"/>
      <name val="Calibri"/>
      <family val="2"/>
      <scheme val="minor"/>
    </font>
    <font>
      <b/>
      <sz val="36"/>
      <color theme="0"/>
      <name val="Calibri"/>
      <family val="2"/>
      <scheme val="minor"/>
    </font>
    <font>
      <b/>
      <sz val="22"/>
      <color theme="3"/>
      <name val="Calibri Light"/>
      <family val="2"/>
      <scheme val="major"/>
    </font>
    <font>
      <sz val="22"/>
      <color theme="1"/>
      <name val="Calibri"/>
      <family val="2"/>
      <scheme val="minor"/>
    </font>
    <font>
      <sz val="22"/>
      <color theme="3"/>
      <name val="Calibri Light"/>
      <family val="2"/>
      <scheme val="major"/>
    </font>
    <font>
      <sz val="36"/>
      <color theme="1"/>
      <name val="Calibri"/>
      <family val="2"/>
      <scheme val="minor"/>
    </font>
  </fonts>
  <fills count="8">
    <fill>
      <patternFill patternType="none"/>
    </fill>
    <fill>
      <patternFill patternType="gray125"/>
    </fill>
    <fill>
      <patternFill patternType="solid">
        <fgColor theme="9" tint="0.59999389629810485"/>
        <bgColor indexed="65"/>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bgColor indexed="64"/>
      </patternFill>
    </fill>
    <fill>
      <patternFill patternType="solid">
        <fgColor theme="4" tint="0.59999389629810485"/>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3">
    <xf numFmtId="0" fontId="0" fillId="0" borderId="0"/>
    <xf numFmtId="0" fontId="1" fillId="2" borderId="0" applyNumberFormat="0" applyBorder="0" applyAlignment="0" applyProtection="0"/>
    <xf numFmtId="0" fontId="4" fillId="0" borderId="0" applyNumberFormat="0" applyFill="0" applyBorder="0" applyAlignment="0" applyProtection="0"/>
  </cellStyleXfs>
  <cellXfs count="50">
    <xf numFmtId="0" fontId="0" fillId="0" borderId="0" xfId="0"/>
    <xf numFmtId="0" fontId="0" fillId="0" borderId="0" xfId="0" pivotButton="1"/>
    <xf numFmtId="0" fontId="0" fillId="0" borderId="0" xfId="0" applyAlignment="1">
      <alignment horizontal="left"/>
    </xf>
    <xf numFmtId="14" fontId="0" fillId="0" borderId="0" xfId="0" applyNumberFormat="1" applyAlignment="1">
      <alignment horizontal="left"/>
    </xf>
    <xf numFmtId="10" fontId="0" fillId="0" borderId="0" xfId="0" applyNumberFormat="1" applyAlignment="1">
      <alignment horizontal="left"/>
    </xf>
    <xf numFmtId="9" fontId="3" fillId="3" borderId="4" xfId="0" applyNumberFormat="1" applyFont="1" applyFill="1" applyBorder="1" applyAlignment="1">
      <alignment horizontal="center" vertical="center"/>
    </xf>
    <xf numFmtId="10" fontId="3" fillId="3" borderId="4" xfId="0" applyNumberFormat="1" applyFont="1" applyFill="1" applyBorder="1" applyAlignment="1">
      <alignment horizontal="center" vertical="center"/>
    </xf>
    <xf numFmtId="164" fontId="3" fillId="3" borderId="4" xfId="0" applyNumberFormat="1" applyFont="1" applyFill="1" applyBorder="1" applyAlignment="1">
      <alignment horizontal="center" vertical="center"/>
    </xf>
    <xf numFmtId="9" fontId="3" fillId="3" borderId="2" xfId="0" applyNumberFormat="1" applyFont="1" applyFill="1" applyBorder="1" applyAlignment="1">
      <alignment horizontal="center" vertical="center"/>
    </xf>
    <xf numFmtId="0" fontId="2" fillId="4" borderId="4" xfId="1" applyFont="1" applyFill="1" applyBorder="1" applyAlignment="1">
      <alignment horizontal="center" vertical="center"/>
    </xf>
    <xf numFmtId="14" fontId="2" fillId="4" borderId="4" xfId="1" applyNumberFormat="1" applyFont="1" applyFill="1" applyBorder="1" applyAlignment="1">
      <alignment horizontal="center" vertical="center"/>
    </xf>
    <xf numFmtId="10" fontId="2" fillId="4" borderId="4" xfId="1" applyNumberFormat="1" applyFont="1" applyFill="1" applyBorder="1" applyAlignment="1">
      <alignment horizontal="center" vertical="center"/>
    </xf>
    <xf numFmtId="4" fontId="2" fillId="4" borderId="4" xfId="1" applyNumberFormat="1" applyFont="1" applyFill="1" applyBorder="1" applyAlignment="1">
      <alignment horizontal="center" vertical="center"/>
    </xf>
    <xf numFmtId="4" fontId="2" fillId="4" borderId="4" xfId="0" applyNumberFormat="1" applyFont="1" applyFill="1" applyBorder="1"/>
    <xf numFmtId="4" fontId="2" fillId="4" borderId="4" xfId="1" applyNumberFormat="1" applyFont="1" applyFill="1" applyBorder="1"/>
    <xf numFmtId="4" fontId="2" fillId="4" borderId="2" xfId="0" applyNumberFormat="1" applyFont="1" applyFill="1" applyBorder="1"/>
    <xf numFmtId="0" fontId="2" fillId="2" borderId="4" xfId="1" applyFont="1" applyBorder="1" applyAlignment="1">
      <alignment horizontal="center" vertical="center"/>
    </xf>
    <xf numFmtId="14" fontId="2" fillId="2" borderId="4" xfId="1" applyNumberFormat="1" applyFont="1" applyBorder="1" applyAlignment="1">
      <alignment horizontal="center" vertical="center"/>
    </xf>
    <xf numFmtId="10" fontId="2" fillId="2" borderId="4" xfId="1" applyNumberFormat="1" applyFont="1" applyBorder="1" applyAlignment="1">
      <alignment horizontal="center" vertical="center"/>
    </xf>
    <xf numFmtId="4" fontId="2" fillId="2" borderId="4" xfId="1" applyNumberFormat="1" applyFont="1" applyBorder="1" applyAlignment="1">
      <alignment horizontal="center" vertical="center"/>
    </xf>
    <xf numFmtId="4" fontId="2" fillId="0" borderId="4" xfId="0" applyNumberFormat="1" applyFont="1" applyBorder="1"/>
    <xf numFmtId="4" fontId="2" fillId="2" borderId="4" xfId="1" applyNumberFormat="1" applyFont="1" applyBorder="1"/>
    <xf numFmtId="4" fontId="2" fillId="0" borderId="2" xfId="0" applyNumberFormat="1" applyFont="1" applyBorder="1"/>
    <xf numFmtId="10" fontId="2" fillId="4" borderId="4" xfId="1" applyNumberFormat="1" applyFont="1" applyFill="1" applyBorder="1" applyAlignment="1">
      <alignment horizontal="center"/>
    </xf>
    <xf numFmtId="0" fontId="2" fillId="4" borderId="4" xfId="1" applyFont="1" applyFill="1" applyBorder="1" applyAlignment="1">
      <alignment horizontal="center"/>
    </xf>
    <xf numFmtId="10" fontId="2" fillId="2" borderId="4" xfId="1" applyNumberFormat="1" applyFont="1" applyBorder="1" applyAlignment="1">
      <alignment horizontal="center"/>
    </xf>
    <xf numFmtId="0" fontId="2" fillId="2" borderId="4" xfId="1" applyFont="1" applyBorder="1" applyAlignment="1">
      <alignment horizontal="center"/>
    </xf>
    <xf numFmtId="0" fontId="2" fillId="2" borderId="3" xfId="1" applyFont="1" applyBorder="1" applyAlignment="1">
      <alignment horizontal="center" vertical="center"/>
    </xf>
    <xf numFmtId="14" fontId="2" fillId="2" borderId="3" xfId="1" applyNumberFormat="1" applyFont="1" applyBorder="1" applyAlignment="1">
      <alignment horizontal="center" vertical="center"/>
    </xf>
    <xf numFmtId="10" fontId="2" fillId="2" borderId="3" xfId="1" applyNumberFormat="1" applyFont="1" applyBorder="1" applyAlignment="1">
      <alignment horizontal="center"/>
    </xf>
    <xf numFmtId="0" fontId="2" fillId="2" borderId="3" xfId="1" applyFont="1" applyBorder="1" applyAlignment="1">
      <alignment horizontal="center"/>
    </xf>
    <xf numFmtId="10" fontId="2" fillId="2" borderId="3" xfId="1" applyNumberFormat="1" applyFont="1" applyBorder="1" applyAlignment="1">
      <alignment horizontal="center" vertical="center"/>
    </xf>
    <xf numFmtId="4" fontId="2" fillId="2" borderId="3" xfId="1" applyNumberFormat="1" applyFont="1" applyBorder="1" applyAlignment="1">
      <alignment horizontal="center" vertical="center"/>
    </xf>
    <xf numFmtId="4" fontId="2" fillId="0" borderId="3" xfId="0" applyNumberFormat="1" applyFont="1" applyBorder="1"/>
    <xf numFmtId="4" fontId="2" fillId="2" borderId="3" xfId="1" applyNumberFormat="1" applyFont="1" applyBorder="1"/>
    <xf numFmtId="4" fontId="2" fillId="0" borderId="1" xfId="0" applyNumberFormat="1" applyFont="1" applyBorder="1"/>
    <xf numFmtId="0" fontId="5" fillId="0" borderId="0" xfId="0" pivotButton="1" applyFont="1"/>
    <xf numFmtId="0" fontId="5" fillId="0" borderId="0" xfId="0" applyFont="1"/>
    <xf numFmtId="0" fontId="5" fillId="0" borderId="0" xfId="0" applyFont="1" applyAlignment="1">
      <alignment horizontal="left"/>
    </xf>
    <xf numFmtId="4" fontId="5" fillId="0" borderId="0" xfId="0" applyNumberFormat="1" applyFont="1"/>
    <xf numFmtId="0" fontId="0" fillId="0" borderId="0" xfId="0" applyAlignment="1">
      <alignment horizontal="center"/>
    </xf>
    <xf numFmtId="0" fontId="7" fillId="5" borderId="0" xfId="0" applyFont="1" applyFill="1" applyAlignment="1">
      <alignment horizontal="center"/>
    </xf>
    <xf numFmtId="0" fontId="6" fillId="0" borderId="0" xfId="0" applyFont="1" applyAlignment="1">
      <alignment horizontal="center"/>
    </xf>
    <xf numFmtId="10" fontId="5" fillId="0" borderId="0" xfId="0" applyNumberFormat="1" applyFont="1"/>
    <xf numFmtId="0" fontId="8" fillId="6" borderId="0" xfId="2" applyFont="1" applyFill="1" applyAlignment="1">
      <alignment horizontal="center"/>
    </xf>
    <xf numFmtId="0" fontId="9" fillId="6" borderId="0" xfId="0" applyFont="1"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10" fillId="6" borderId="0" xfId="2" applyFont="1" applyFill="1" applyAlignment="1">
      <alignment horizontal="center"/>
    </xf>
    <xf numFmtId="0" fontId="11" fillId="5" borderId="0" xfId="0" applyFont="1" applyFill="1" applyAlignment="1">
      <alignment horizontal="center"/>
    </xf>
  </cellXfs>
  <cellStyles count="3">
    <cellStyle name="40% - Accent6" xfId="1" builtinId="51"/>
    <cellStyle name="Normal" xfId="0" builtinId="0"/>
    <cellStyle name="Title" xfId="2" builtinId="15"/>
  </cellStyles>
  <dxfs count="38">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color theme="0"/>
      </font>
      <fill>
        <patternFill>
          <bgColor theme="9" tint="-0.24994659260841701"/>
        </patternFill>
      </fill>
    </dxf>
    <dxf>
      <font>
        <b/>
        <i val="0"/>
        <color theme="0"/>
      </font>
      <fill>
        <patternFill>
          <bgColor theme="9" tint="-0.24994659260841701"/>
        </patternFill>
      </fill>
    </dxf>
    <dxf>
      <font>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color theme="0"/>
      </font>
      <fill>
        <patternFill>
          <bgColor theme="9" tint="-0.24994659260841701"/>
        </patternFill>
      </fill>
    </dxf>
    <dxf>
      <font>
        <color theme="0"/>
      </font>
      <fill>
        <patternFill>
          <bgColor theme="9" tint="-0.24994659260841701"/>
        </patternFill>
      </fill>
    </dxf>
    <dxf>
      <font>
        <color theme="0"/>
      </font>
      <fill>
        <patternFill>
          <bgColor theme="9" tint="-0.24994659260841701"/>
        </patternFill>
      </fill>
    </dxf>
    <dxf>
      <font>
        <b/>
        <i val="0"/>
        <color theme="0"/>
      </font>
      <fill>
        <patternFill>
          <bgColor theme="9" tint="-0.24994659260841701"/>
        </patternFill>
      </fill>
    </dxf>
    <dxf>
      <font>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color theme="0"/>
      </font>
      <fill>
        <patternFill>
          <bgColor theme="9" tint="-0.24994659260841701"/>
        </patternFill>
      </fill>
    </dxf>
    <dxf>
      <font>
        <sz val="14"/>
      </font>
    </dxf>
    <dxf>
      <font>
        <sz val="14"/>
      </font>
    </dxf>
    <dxf>
      <font>
        <sz val="14"/>
      </font>
    </dxf>
    <dxf>
      <font>
        <sz val="14"/>
      </font>
    </dxf>
    <dxf>
      <font>
        <sz val="1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PROJECT.xlsm]Sheet2!PivotTable2</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487179487179488E-2"/>
          <c:y val="0.20954802259887009"/>
          <c:w val="0.92948717948717952"/>
          <c:h val="0.65938831798567554"/>
        </c:manualLayout>
      </c:layout>
      <c:barChart>
        <c:barDir val="col"/>
        <c:grouping val="clustered"/>
        <c:varyColors val="0"/>
        <c:ser>
          <c:idx val="0"/>
          <c:order val="0"/>
          <c:tx>
            <c:strRef>
              <c:f>Sheet2!$F$3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Sheet2!$E$4:$E$8</c:f>
              <c:strCache>
                <c:ptCount val="4"/>
                <c:pt idx="0">
                  <c:v>Apr</c:v>
                </c:pt>
                <c:pt idx="1">
                  <c:v>May</c:v>
                </c:pt>
                <c:pt idx="2">
                  <c:v>Jun</c:v>
                </c:pt>
                <c:pt idx="3">
                  <c:v>Jul</c:v>
                </c:pt>
              </c:strCache>
            </c:strRef>
          </c:cat>
          <c:val>
            <c:numRef>
              <c:f>Sheet2!$F$4:$F$8</c:f>
              <c:numCache>
                <c:formatCode>#,##0.00</c:formatCode>
                <c:ptCount val="4"/>
                <c:pt idx="0">
                  <c:v>21004</c:v>
                </c:pt>
                <c:pt idx="1">
                  <c:v>229752.43999999997</c:v>
                </c:pt>
                <c:pt idx="2">
                  <c:v>389805.09</c:v>
                </c:pt>
                <c:pt idx="3">
                  <c:v>229402.33</c:v>
                </c:pt>
              </c:numCache>
            </c:numRef>
          </c:val>
          <c:extLst>
            <c:ext xmlns:c16="http://schemas.microsoft.com/office/drawing/2014/chart" uri="{C3380CC4-5D6E-409C-BE32-E72D297353CC}">
              <c16:uniqueId val="{00000000-D451-4CCC-889E-9394B2D70A09}"/>
            </c:ext>
          </c:extLst>
        </c:ser>
        <c:dLbls>
          <c:dLblPos val="outEnd"/>
          <c:showLegendKey val="0"/>
          <c:showVal val="1"/>
          <c:showCatName val="0"/>
          <c:showSerName val="0"/>
          <c:showPercent val="0"/>
          <c:showBubbleSize val="0"/>
        </c:dLbls>
        <c:gapWidth val="219"/>
        <c:overlap val="-27"/>
        <c:axId val="315251648"/>
        <c:axId val="315259808"/>
      </c:barChart>
      <c:catAx>
        <c:axId val="31525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259808"/>
        <c:crosses val="autoZero"/>
        <c:auto val="1"/>
        <c:lblAlgn val="ctr"/>
        <c:lblOffset val="100"/>
        <c:noMultiLvlLbl val="0"/>
      </c:catAx>
      <c:valAx>
        <c:axId val="315259808"/>
        <c:scaling>
          <c:orientation val="minMax"/>
        </c:scaling>
        <c:delete val="1"/>
        <c:axPos val="l"/>
        <c:numFmt formatCode="#,##0.00" sourceLinked="1"/>
        <c:majorTickMark val="none"/>
        <c:minorTickMark val="none"/>
        <c:tickLblPos val="nextTo"/>
        <c:crossAx val="31525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PROJECT.xlsm]Sheet2!PivotTable3</c:name>
    <c:fmtId val="2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Sheet2!$M$4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Sheet2!$L$5:$L$7</c:f>
              <c:strCache>
                <c:ptCount val="2"/>
                <c:pt idx="0">
                  <c:v>Plywood 4mm</c:v>
                </c:pt>
                <c:pt idx="1">
                  <c:v>Plywood 6mm</c:v>
                </c:pt>
              </c:strCache>
            </c:strRef>
          </c:cat>
          <c:val>
            <c:numRef>
              <c:f>Sheet2!$M$5:$M$7</c:f>
              <c:numCache>
                <c:formatCode>#,##0.00</c:formatCode>
                <c:ptCount val="2"/>
                <c:pt idx="0">
                  <c:v>427057.24</c:v>
                </c:pt>
                <c:pt idx="1">
                  <c:v>442906.61999999994</c:v>
                </c:pt>
              </c:numCache>
            </c:numRef>
          </c:val>
          <c:extLst>
            <c:ext xmlns:c16="http://schemas.microsoft.com/office/drawing/2014/chart" uri="{C3380CC4-5D6E-409C-BE32-E72D297353CC}">
              <c16:uniqueId val="{00000000-650C-477E-9BF4-6C16A8BFC52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PROJECT.xlsm]Sheet2!PivotTable4</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Tax</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Sheet2!$S$4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Sheet2!$R$5:$R$7</c:f>
              <c:strCache>
                <c:ptCount val="2"/>
                <c:pt idx="0">
                  <c:v>2020</c:v>
                </c:pt>
                <c:pt idx="1">
                  <c:v>2021</c:v>
                </c:pt>
              </c:strCache>
            </c:strRef>
          </c:cat>
          <c:val>
            <c:numRef>
              <c:f>Sheet2!$S$5:$S$7</c:f>
              <c:numCache>
                <c:formatCode>0.00%</c:formatCode>
                <c:ptCount val="2"/>
                <c:pt idx="0">
                  <c:v>2.5330000000000004</c:v>
                </c:pt>
                <c:pt idx="1">
                  <c:v>0.77100000000000002</c:v>
                </c:pt>
              </c:numCache>
            </c:numRef>
          </c:val>
          <c:extLst>
            <c:ext xmlns:c16="http://schemas.microsoft.com/office/drawing/2014/chart" uri="{C3380CC4-5D6E-409C-BE32-E72D297353CC}">
              <c16:uniqueId val="{00000000-6002-4130-BF4F-E9CE1D7F3639}"/>
            </c:ext>
          </c:extLst>
        </c:ser>
        <c:dLbls>
          <c:dLblPos val="outEnd"/>
          <c:showLegendKey val="0"/>
          <c:showVal val="1"/>
          <c:showCatName val="0"/>
          <c:showSerName val="0"/>
          <c:showPercent val="0"/>
          <c:showBubbleSize val="0"/>
        </c:dLbls>
        <c:gapWidth val="219"/>
        <c:overlap val="-27"/>
        <c:axId val="315323168"/>
        <c:axId val="315339488"/>
      </c:barChart>
      <c:catAx>
        <c:axId val="31532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339488"/>
        <c:crosses val="autoZero"/>
        <c:auto val="1"/>
        <c:lblAlgn val="ctr"/>
        <c:lblOffset val="100"/>
        <c:noMultiLvlLbl val="0"/>
      </c:catAx>
      <c:valAx>
        <c:axId val="315339488"/>
        <c:scaling>
          <c:orientation val="minMax"/>
        </c:scaling>
        <c:delete val="1"/>
        <c:axPos val="l"/>
        <c:numFmt formatCode="0.00%" sourceLinked="1"/>
        <c:majorTickMark val="none"/>
        <c:minorTickMark val="none"/>
        <c:tickLblPos val="nextTo"/>
        <c:crossAx val="31532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PROJECT.xlsm]Sheet2!PivotTable5</c:name>
    <c:fmtId val="32"/>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Sheet2!$X$4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Sheet2!$W$5:$W$7</c:f>
              <c:strCache>
                <c:ptCount val="2"/>
                <c:pt idx="0">
                  <c:v>INTERSTATE</c:v>
                </c:pt>
                <c:pt idx="1">
                  <c:v>Local</c:v>
                </c:pt>
              </c:strCache>
            </c:strRef>
          </c:cat>
          <c:val>
            <c:numRef>
              <c:f>Sheet2!$X$5:$X$7</c:f>
              <c:numCache>
                <c:formatCode>#,##0.00</c:formatCode>
                <c:ptCount val="2"/>
                <c:pt idx="0">
                  <c:v>139553.4</c:v>
                </c:pt>
                <c:pt idx="1">
                  <c:v>730410.46</c:v>
                </c:pt>
              </c:numCache>
            </c:numRef>
          </c:val>
          <c:extLst>
            <c:ext xmlns:c16="http://schemas.microsoft.com/office/drawing/2014/chart" uri="{C3380CC4-5D6E-409C-BE32-E72D297353CC}">
              <c16:uniqueId val="{00000000-0B9E-4FCE-9847-4116BD48F0A0}"/>
            </c:ext>
          </c:extLst>
        </c:ser>
        <c:dLbls>
          <c:dLblPos val="outEnd"/>
          <c:showLegendKey val="0"/>
          <c:showVal val="1"/>
          <c:showCatName val="0"/>
          <c:showSerName val="0"/>
          <c:showPercent val="0"/>
          <c:showBubbleSize val="0"/>
        </c:dLbls>
        <c:gapWidth val="182"/>
        <c:axId val="315285728"/>
        <c:axId val="315287648"/>
      </c:barChart>
      <c:catAx>
        <c:axId val="3152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287648"/>
        <c:crosses val="autoZero"/>
        <c:auto val="1"/>
        <c:lblAlgn val="ctr"/>
        <c:lblOffset val="100"/>
        <c:noMultiLvlLbl val="0"/>
      </c:catAx>
      <c:valAx>
        <c:axId val="315287648"/>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1528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PROJECT.xlsm]Sheet2!PivotTable1</c:name>
    <c:fmtId val="15"/>
  </c:pivotSource>
  <c:chart>
    <c:autoTitleDeleted val="1"/>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2"/>
          </a:solidFill>
          <a:ln w="19050">
            <a:solidFill>
              <a:schemeClr val="lt1"/>
            </a:solidFill>
          </a:ln>
          <a:effectLst/>
        </c:spPr>
      </c:pivotFmt>
    </c:pivotFmts>
    <c:plotArea>
      <c:layout/>
      <c:pieChart>
        <c:varyColors val="1"/>
        <c:ser>
          <c:idx val="0"/>
          <c:order val="0"/>
          <c:tx>
            <c:strRef>
              <c:f>Sheet2!$B$3</c:f>
              <c:strCache>
                <c:ptCount val="1"/>
                <c:pt idx="0">
                  <c:v>Total</c:v>
                </c:pt>
              </c:strCache>
            </c:strRef>
          </c:tx>
          <c:explosion val="29"/>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21-4201-A21A-E384D24B9B14}"/>
              </c:ext>
            </c:extLst>
          </c:dPt>
          <c:dPt>
            <c:idx val="1"/>
            <c:bubble3D val="0"/>
            <c:explosion val="0"/>
            <c:spPr>
              <a:solidFill>
                <a:schemeClr val="accent2"/>
              </a:solidFill>
              <a:ln w="19050">
                <a:solidFill>
                  <a:schemeClr val="lt1"/>
                </a:solidFill>
              </a:ln>
              <a:effectLst/>
            </c:spPr>
            <c:extLst>
              <c:ext xmlns:c16="http://schemas.microsoft.com/office/drawing/2014/chart" uri="{C3380CC4-5D6E-409C-BE32-E72D297353CC}">
                <c16:uniqueId val="{00000003-4A21-4201-A21A-E384D24B9B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Sheet2!$A$4:$A$6</c:f>
              <c:strCache>
                <c:ptCount val="2"/>
                <c:pt idx="0">
                  <c:v>JK Enterprise</c:v>
                </c:pt>
                <c:pt idx="1">
                  <c:v>SR Hardware</c:v>
                </c:pt>
              </c:strCache>
            </c:strRef>
          </c:cat>
          <c:val>
            <c:numRef>
              <c:f>Sheet2!$B$4:$B$6</c:f>
              <c:numCache>
                <c:formatCode>#,##0.00</c:formatCode>
                <c:ptCount val="2"/>
                <c:pt idx="0">
                  <c:v>410376.47000000003</c:v>
                </c:pt>
                <c:pt idx="1">
                  <c:v>459587.38999999996</c:v>
                </c:pt>
              </c:numCache>
            </c:numRef>
          </c:val>
          <c:extLst>
            <c:ext xmlns:c16="http://schemas.microsoft.com/office/drawing/2014/chart" uri="{C3380CC4-5D6E-409C-BE32-E72D297353CC}">
              <c16:uniqueId val="{00000004-4A21-4201-A21A-E384D24B9B1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PROJECT.xlsm]Sheet2!PivotTable2</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487179487179488E-2"/>
          <c:y val="0.20954802259887009"/>
          <c:w val="0.92948717948717952"/>
          <c:h val="0.65938831798567554"/>
        </c:manualLayout>
      </c:layout>
      <c:barChart>
        <c:barDir val="col"/>
        <c:grouping val="clustered"/>
        <c:varyColors val="0"/>
        <c:ser>
          <c:idx val="0"/>
          <c:order val="0"/>
          <c:tx>
            <c:strRef>
              <c:f>Sheet2!$F$3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Sheet2!$E$4:$E$8</c:f>
              <c:strCache>
                <c:ptCount val="4"/>
                <c:pt idx="0">
                  <c:v>Apr</c:v>
                </c:pt>
                <c:pt idx="1">
                  <c:v>May</c:v>
                </c:pt>
                <c:pt idx="2">
                  <c:v>Jun</c:v>
                </c:pt>
                <c:pt idx="3">
                  <c:v>Jul</c:v>
                </c:pt>
              </c:strCache>
            </c:strRef>
          </c:cat>
          <c:val>
            <c:numRef>
              <c:f>Sheet2!$F$4:$F$8</c:f>
              <c:numCache>
                <c:formatCode>#,##0.00</c:formatCode>
                <c:ptCount val="4"/>
                <c:pt idx="0">
                  <c:v>21004</c:v>
                </c:pt>
                <c:pt idx="1">
                  <c:v>229752.43999999997</c:v>
                </c:pt>
                <c:pt idx="2">
                  <c:v>389805.09</c:v>
                </c:pt>
                <c:pt idx="3">
                  <c:v>229402.33</c:v>
                </c:pt>
              </c:numCache>
            </c:numRef>
          </c:val>
          <c:extLst>
            <c:ext xmlns:c16="http://schemas.microsoft.com/office/drawing/2014/chart" uri="{C3380CC4-5D6E-409C-BE32-E72D297353CC}">
              <c16:uniqueId val="{00000000-AD23-4EC6-A454-E0DD7861D770}"/>
            </c:ext>
          </c:extLst>
        </c:ser>
        <c:dLbls>
          <c:dLblPos val="outEnd"/>
          <c:showLegendKey val="0"/>
          <c:showVal val="1"/>
          <c:showCatName val="0"/>
          <c:showSerName val="0"/>
          <c:showPercent val="0"/>
          <c:showBubbleSize val="0"/>
        </c:dLbls>
        <c:gapWidth val="219"/>
        <c:overlap val="-27"/>
        <c:axId val="315251648"/>
        <c:axId val="315259808"/>
      </c:barChart>
      <c:catAx>
        <c:axId val="31525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259808"/>
        <c:crosses val="autoZero"/>
        <c:auto val="1"/>
        <c:lblAlgn val="ctr"/>
        <c:lblOffset val="100"/>
        <c:noMultiLvlLbl val="0"/>
      </c:catAx>
      <c:valAx>
        <c:axId val="315259808"/>
        <c:scaling>
          <c:orientation val="minMax"/>
        </c:scaling>
        <c:delete val="1"/>
        <c:axPos val="l"/>
        <c:numFmt formatCode="#,##0.00" sourceLinked="1"/>
        <c:majorTickMark val="none"/>
        <c:minorTickMark val="none"/>
        <c:tickLblPos val="nextTo"/>
        <c:crossAx val="31525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PROJECT.xlsm]Sheet2!PivotTable3</c:name>
    <c:fmtId val="27"/>
  </c:pivotSource>
  <c:chart>
    <c:autoTitleDeleted val="1"/>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2"/>
          </a:solidFill>
          <a:ln w="19050">
            <a:solidFill>
              <a:schemeClr val="lt1"/>
            </a:solidFill>
          </a:ln>
          <a:effectLst/>
        </c:spPr>
      </c:pivotFmt>
    </c:pivotFmts>
    <c:plotArea>
      <c:layout/>
      <c:pieChart>
        <c:varyColors val="1"/>
        <c:ser>
          <c:idx val="0"/>
          <c:order val="0"/>
          <c:tx>
            <c:strRef>
              <c:f>Sheet2!$M$4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A9-41B8-8877-42A2DA4C6A4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A9-41B8-8877-42A2DA4C6A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Sheet2!$L$5:$L$7</c:f>
              <c:strCache>
                <c:ptCount val="2"/>
                <c:pt idx="0">
                  <c:v>Plywood 4mm</c:v>
                </c:pt>
                <c:pt idx="1">
                  <c:v>Plywood 6mm</c:v>
                </c:pt>
              </c:strCache>
            </c:strRef>
          </c:cat>
          <c:val>
            <c:numRef>
              <c:f>Sheet2!$M$5:$M$7</c:f>
              <c:numCache>
                <c:formatCode>#,##0.00</c:formatCode>
                <c:ptCount val="2"/>
                <c:pt idx="0">
                  <c:v>427057.24</c:v>
                </c:pt>
                <c:pt idx="1">
                  <c:v>442906.61999999994</c:v>
                </c:pt>
              </c:numCache>
            </c:numRef>
          </c:val>
          <c:extLst>
            <c:ext xmlns:c16="http://schemas.microsoft.com/office/drawing/2014/chart" uri="{C3380CC4-5D6E-409C-BE32-E72D297353CC}">
              <c16:uniqueId val="{00000004-7FA9-41B8-8877-42A2DA4C6A4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PROJECT.xlsm]Sheet2!PivotTable4</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Tax</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Sheet2!$S$4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Sheet2!$R$5:$R$7</c:f>
              <c:strCache>
                <c:ptCount val="2"/>
                <c:pt idx="0">
                  <c:v>2020</c:v>
                </c:pt>
                <c:pt idx="1">
                  <c:v>2021</c:v>
                </c:pt>
              </c:strCache>
            </c:strRef>
          </c:cat>
          <c:val>
            <c:numRef>
              <c:f>Sheet2!$S$5:$S$7</c:f>
              <c:numCache>
                <c:formatCode>0.00%</c:formatCode>
                <c:ptCount val="2"/>
                <c:pt idx="0">
                  <c:v>2.5330000000000004</c:v>
                </c:pt>
                <c:pt idx="1">
                  <c:v>0.77100000000000002</c:v>
                </c:pt>
              </c:numCache>
            </c:numRef>
          </c:val>
          <c:extLst>
            <c:ext xmlns:c16="http://schemas.microsoft.com/office/drawing/2014/chart" uri="{C3380CC4-5D6E-409C-BE32-E72D297353CC}">
              <c16:uniqueId val="{00000001-13CD-4E5C-A58F-1C2A118F2B9D}"/>
            </c:ext>
          </c:extLst>
        </c:ser>
        <c:dLbls>
          <c:dLblPos val="outEnd"/>
          <c:showLegendKey val="0"/>
          <c:showVal val="1"/>
          <c:showCatName val="0"/>
          <c:showSerName val="0"/>
          <c:showPercent val="0"/>
          <c:showBubbleSize val="0"/>
        </c:dLbls>
        <c:gapWidth val="219"/>
        <c:overlap val="-27"/>
        <c:axId val="315323168"/>
        <c:axId val="315339488"/>
      </c:barChart>
      <c:catAx>
        <c:axId val="31532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339488"/>
        <c:crosses val="autoZero"/>
        <c:auto val="1"/>
        <c:lblAlgn val="ctr"/>
        <c:lblOffset val="100"/>
        <c:noMultiLvlLbl val="0"/>
      </c:catAx>
      <c:valAx>
        <c:axId val="315339488"/>
        <c:scaling>
          <c:orientation val="minMax"/>
        </c:scaling>
        <c:delete val="1"/>
        <c:axPos val="l"/>
        <c:numFmt formatCode="0.00%" sourceLinked="1"/>
        <c:majorTickMark val="none"/>
        <c:minorTickMark val="none"/>
        <c:tickLblPos val="nextTo"/>
        <c:crossAx val="31532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 PROJECT.xlsm]Sheet2!PivotTable5</c:name>
    <c:fmtId val="36"/>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9002624671917"/>
          <c:y val="0"/>
          <c:w val="0.80526552930883644"/>
          <c:h val="0.89814814814814814"/>
        </c:manualLayout>
      </c:layout>
      <c:barChart>
        <c:barDir val="bar"/>
        <c:grouping val="clustered"/>
        <c:varyColors val="0"/>
        <c:ser>
          <c:idx val="0"/>
          <c:order val="0"/>
          <c:tx>
            <c:strRef>
              <c:f>Sheet2!$X$4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Sheet2!$W$5:$W$7</c:f>
              <c:strCache>
                <c:ptCount val="2"/>
                <c:pt idx="0">
                  <c:v>INTERSTATE</c:v>
                </c:pt>
                <c:pt idx="1">
                  <c:v>Local</c:v>
                </c:pt>
              </c:strCache>
            </c:strRef>
          </c:cat>
          <c:val>
            <c:numRef>
              <c:f>Sheet2!$X$5:$X$7</c:f>
              <c:numCache>
                <c:formatCode>#,##0.00</c:formatCode>
                <c:ptCount val="2"/>
                <c:pt idx="0">
                  <c:v>139553.4</c:v>
                </c:pt>
                <c:pt idx="1">
                  <c:v>730410.46</c:v>
                </c:pt>
              </c:numCache>
            </c:numRef>
          </c:val>
          <c:extLst>
            <c:ext xmlns:c16="http://schemas.microsoft.com/office/drawing/2014/chart" uri="{C3380CC4-5D6E-409C-BE32-E72D297353CC}">
              <c16:uniqueId val="{00000000-E213-445A-8242-EDC72F1592AE}"/>
            </c:ext>
          </c:extLst>
        </c:ser>
        <c:dLbls>
          <c:dLblPos val="outEnd"/>
          <c:showLegendKey val="0"/>
          <c:showVal val="1"/>
          <c:showCatName val="0"/>
          <c:showSerName val="0"/>
          <c:showPercent val="0"/>
          <c:showBubbleSize val="0"/>
        </c:dLbls>
        <c:gapWidth val="152"/>
        <c:overlap val="-8"/>
        <c:axId val="315285728"/>
        <c:axId val="315287648"/>
      </c:barChart>
      <c:catAx>
        <c:axId val="31528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287648"/>
        <c:crosses val="autoZero"/>
        <c:auto val="1"/>
        <c:lblAlgn val="ctr"/>
        <c:lblOffset val="100"/>
        <c:noMultiLvlLbl val="0"/>
      </c:catAx>
      <c:valAx>
        <c:axId val="315287648"/>
        <c:scaling>
          <c:orientation val="minMax"/>
        </c:scaling>
        <c:delete val="1"/>
        <c:axPos val="b"/>
        <c:numFmt formatCode="#,##0.00" sourceLinked="1"/>
        <c:majorTickMark val="none"/>
        <c:minorTickMark val="none"/>
        <c:tickLblPos val="nextTo"/>
        <c:crossAx val="31528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167640</xdr:colOff>
      <xdr:row>8</xdr:row>
      <xdr:rowOff>190500</xdr:rowOff>
    </xdr:from>
    <xdr:to>
      <xdr:col>9</xdr:col>
      <xdr:colOff>175260</xdr:colOff>
      <xdr:row>18</xdr:row>
      <xdr:rowOff>152400</xdr:rowOff>
    </xdr:to>
    <xdr:graphicFrame macro="">
      <xdr:nvGraphicFramePr>
        <xdr:cNvPr id="4" name="Chart 3">
          <a:extLst>
            <a:ext uri="{FF2B5EF4-FFF2-40B4-BE49-F238E27FC236}">
              <a16:creationId xmlns:a16="http://schemas.microsoft.com/office/drawing/2014/main" id="{38DB0A85-2DE0-1101-34D0-2C7A667F1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342900</xdr:colOff>
      <xdr:row>8</xdr:row>
      <xdr:rowOff>38100</xdr:rowOff>
    </xdr:from>
    <xdr:to>
      <xdr:col>14</xdr:col>
      <xdr:colOff>601980</xdr:colOff>
      <xdr:row>17</xdr:row>
      <xdr:rowOff>7620</xdr:rowOff>
    </xdr:to>
    <xdr:graphicFrame macro="">
      <xdr:nvGraphicFramePr>
        <xdr:cNvPr id="5" name="Chart 4">
          <a:extLst>
            <a:ext uri="{FF2B5EF4-FFF2-40B4-BE49-F238E27FC236}">
              <a16:creationId xmlns:a16="http://schemas.microsoft.com/office/drawing/2014/main" id="{839FC187-23C7-2581-6EBD-8BFBC6B42D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601980</xdr:colOff>
      <xdr:row>8</xdr:row>
      <xdr:rowOff>83820</xdr:rowOff>
    </xdr:from>
    <xdr:to>
      <xdr:col>21</xdr:col>
      <xdr:colOff>449580</xdr:colOff>
      <xdr:row>20</xdr:row>
      <xdr:rowOff>83820</xdr:rowOff>
    </xdr:to>
    <xdr:graphicFrame macro="">
      <xdr:nvGraphicFramePr>
        <xdr:cNvPr id="6" name="Chart 5">
          <a:extLst>
            <a:ext uri="{FF2B5EF4-FFF2-40B4-BE49-F238E27FC236}">
              <a16:creationId xmlns:a16="http://schemas.microsoft.com/office/drawing/2014/main" id="{704DD461-185A-5173-C517-B0209DAF5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594360</xdr:colOff>
      <xdr:row>8</xdr:row>
      <xdr:rowOff>15240</xdr:rowOff>
    </xdr:from>
    <xdr:to>
      <xdr:col>27</xdr:col>
      <xdr:colOff>601980</xdr:colOff>
      <xdr:row>20</xdr:row>
      <xdr:rowOff>15240</xdr:rowOff>
    </xdr:to>
    <xdr:graphicFrame macro="">
      <xdr:nvGraphicFramePr>
        <xdr:cNvPr id="8" name="Chart 7">
          <a:extLst>
            <a:ext uri="{FF2B5EF4-FFF2-40B4-BE49-F238E27FC236}">
              <a16:creationId xmlns:a16="http://schemas.microsoft.com/office/drawing/2014/main" id="{5993C80B-A007-080A-94BE-E4AEE27F7F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281940</xdr:colOff>
      <xdr:row>8</xdr:row>
      <xdr:rowOff>83820</xdr:rowOff>
    </xdr:from>
    <xdr:to>
      <xdr:col>25</xdr:col>
      <xdr:colOff>411480</xdr:colOff>
      <xdr:row>19</xdr:row>
      <xdr:rowOff>36195</xdr:rowOff>
    </xdr:to>
    <mc:AlternateContent xmlns:mc="http://schemas.openxmlformats.org/markup-compatibility/2006">
      <mc:Choice xmlns:a14="http://schemas.microsoft.com/office/drawing/2010/main" Requires="a14">
        <xdr:graphicFrame macro="">
          <xdr:nvGraphicFramePr>
            <xdr:cNvPr id="14" name="Description of Goods 1">
              <a:extLst>
                <a:ext uri="{FF2B5EF4-FFF2-40B4-BE49-F238E27FC236}">
                  <a16:creationId xmlns:a16="http://schemas.microsoft.com/office/drawing/2014/main" id="{68BECDF5-9BC2-76A0-94CA-EF950987BD18}"/>
                </a:ext>
              </a:extLst>
            </xdr:cNvPr>
            <xdr:cNvGraphicFramePr/>
          </xdr:nvGraphicFramePr>
          <xdr:xfrm>
            <a:off x="0" y="0"/>
            <a:ext cx="0" cy="0"/>
          </xdr:xfrm>
          <a:graphic>
            <a:graphicData uri="http://schemas.microsoft.com/office/drawing/2010/slicer">
              <sle:slicer xmlns:sle="http://schemas.microsoft.com/office/drawing/2010/slicer" name="Description of Goods 1"/>
            </a:graphicData>
          </a:graphic>
        </xdr:graphicFrame>
      </mc:Choice>
      <mc:Fallback>
        <xdr:sp macro="" textlink="">
          <xdr:nvSpPr>
            <xdr:cNvPr id="0" name=""/>
            <xdr:cNvSpPr>
              <a:spLocks noTextEdit="1"/>
            </xdr:cNvSpPr>
          </xdr:nvSpPr>
          <xdr:spPr>
            <a:xfrm>
              <a:off x="19476720" y="18211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381000</xdr:colOff>
      <xdr:row>7</xdr:row>
      <xdr:rowOff>22860</xdr:rowOff>
    </xdr:from>
    <xdr:to>
      <xdr:col>24</xdr:col>
      <xdr:colOff>83820</xdr:colOff>
      <xdr:row>17</xdr:row>
      <xdr:rowOff>203835</xdr:rowOff>
    </xdr:to>
    <mc:AlternateContent xmlns:mc="http://schemas.openxmlformats.org/markup-compatibility/2006">
      <mc:Choice xmlns:a14="http://schemas.microsoft.com/office/drawing/2010/main" Requires="a14">
        <xdr:graphicFrame macro="">
          <xdr:nvGraphicFramePr>
            <xdr:cNvPr id="15" name="Firm Name  1">
              <a:extLst>
                <a:ext uri="{FF2B5EF4-FFF2-40B4-BE49-F238E27FC236}">
                  <a16:creationId xmlns:a16="http://schemas.microsoft.com/office/drawing/2014/main" id="{008FAC1C-E128-4093-9919-DED44F74926C}"/>
                </a:ext>
              </a:extLst>
            </xdr:cNvPr>
            <xdr:cNvGraphicFramePr/>
          </xdr:nvGraphicFramePr>
          <xdr:xfrm>
            <a:off x="0" y="0"/>
            <a:ext cx="0" cy="0"/>
          </xdr:xfrm>
          <a:graphic>
            <a:graphicData uri="http://schemas.microsoft.com/office/drawing/2010/slicer">
              <sle:slicer xmlns:sle="http://schemas.microsoft.com/office/drawing/2010/slicer" name="Firm Name  1"/>
            </a:graphicData>
          </a:graphic>
        </xdr:graphicFrame>
      </mc:Choice>
      <mc:Fallback>
        <xdr:sp macro="" textlink="">
          <xdr:nvSpPr>
            <xdr:cNvPr id="0" name=""/>
            <xdr:cNvSpPr>
              <a:spLocks noTextEdit="1"/>
            </xdr:cNvSpPr>
          </xdr:nvSpPr>
          <xdr:spPr>
            <a:xfrm>
              <a:off x="18539460" y="15316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160020</xdr:colOff>
      <xdr:row>5</xdr:row>
      <xdr:rowOff>167640</xdr:rowOff>
    </xdr:from>
    <xdr:to>
      <xdr:col>9</xdr:col>
      <xdr:colOff>312420</xdr:colOff>
      <xdr:row>16</xdr:row>
      <xdr:rowOff>167640</xdr:rowOff>
    </xdr:to>
    <xdr:graphicFrame macro="">
      <xdr:nvGraphicFramePr>
        <xdr:cNvPr id="5" name="Chart 4">
          <a:extLst>
            <a:ext uri="{FF2B5EF4-FFF2-40B4-BE49-F238E27FC236}">
              <a16:creationId xmlns:a16="http://schemas.microsoft.com/office/drawing/2014/main" id="{ADB6DA26-F8C9-49FA-BB81-8BE78EE1F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327660</xdr:colOff>
      <xdr:row>5</xdr:row>
      <xdr:rowOff>144780</xdr:rowOff>
    </xdr:from>
    <xdr:to>
      <xdr:col>16</xdr:col>
      <xdr:colOff>30480</xdr:colOff>
      <xdr:row>17</xdr:row>
      <xdr:rowOff>0</xdr:rowOff>
    </xdr:to>
    <xdr:graphicFrame macro="">
      <xdr:nvGraphicFramePr>
        <xdr:cNvPr id="6" name="Chart 5">
          <a:extLst>
            <a:ext uri="{FF2B5EF4-FFF2-40B4-BE49-F238E27FC236}">
              <a16:creationId xmlns:a16="http://schemas.microsoft.com/office/drawing/2014/main" id="{02FC1824-0B86-4DBF-AE70-3294E70700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6</xdr:row>
      <xdr:rowOff>22860</xdr:rowOff>
    </xdr:from>
    <xdr:to>
      <xdr:col>21</xdr:col>
      <xdr:colOff>563880</xdr:colOff>
      <xdr:row>19</xdr:row>
      <xdr:rowOff>144780</xdr:rowOff>
    </xdr:to>
    <xdr:graphicFrame macro="">
      <xdr:nvGraphicFramePr>
        <xdr:cNvPr id="7" name="Chart 6">
          <a:extLst>
            <a:ext uri="{FF2B5EF4-FFF2-40B4-BE49-F238E27FC236}">
              <a16:creationId xmlns:a16="http://schemas.microsoft.com/office/drawing/2014/main" id="{69E2B391-4D8B-4DC4-B3C0-DAB23DB19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160020</xdr:colOff>
      <xdr:row>20</xdr:row>
      <xdr:rowOff>22860</xdr:rowOff>
    </xdr:from>
    <xdr:to>
      <xdr:col>9</xdr:col>
      <xdr:colOff>586740</xdr:colOff>
      <xdr:row>35</xdr:row>
      <xdr:rowOff>144780</xdr:rowOff>
    </xdr:to>
    <xdr:graphicFrame macro="">
      <xdr:nvGraphicFramePr>
        <xdr:cNvPr id="8" name="Chart 7">
          <a:extLst>
            <a:ext uri="{FF2B5EF4-FFF2-40B4-BE49-F238E27FC236}">
              <a16:creationId xmlns:a16="http://schemas.microsoft.com/office/drawing/2014/main" id="{B68401EC-85E7-4A57-B352-6B5B7D46AA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22860</xdr:colOff>
      <xdr:row>19</xdr:row>
      <xdr:rowOff>175260</xdr:rowOff>
    </xdr:from>
    <xdr:to>
      <xdr:col>17</xdr:col>
      <xdr:colOff>556260</xdr:colOff>
      <xdr:row>37</xdr:row>
      <xdr:rowOff>114300</xdr:rowOff>
    </xdr:to>
    <xdr:graphicFrame macro="">
      <xdr:nvGraphicFramePr>
        <xdr:cNvPr id="9" name="Chart 8">
          <a:extLst>
            <a:ext uri="{FF2B5EF4-FFF2-40B4-BE49-F238E27FC236}">
              <a16:creationId xmlns:a16="http://schemas.microsoft.com/office/drawing/2014/main" id="{C0800E99-240E-4EB7-BFB5-77BBAA3366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3</xdr:row>
      <xdr:rowOff>1</xdr:rowOff>
    </xdr:from>
    <xdr:to>
      <xdr:col>25</xdr:col>
      <xdr:colOff>0</xdr:colOff>
      <xdr:row>7</xdr:row>
      <xdr:rowOff>76200</xdr:rowOff>
    </xdr:to>
    <mc:AlternateContent xmlns:mc="http://schemas.openxmlformats.org/markup-compatibility/2006">
      <mc:Choice xmlns:a14="http://schemas.microsoft.com/office/drawing/2010/main" Requires="a14">
        <xdr:graphicFrame macro="">
          <xdr:nvGraphicFramePr>
            <xdr:cNvPr id="10" name="Description of Goods">
              <a:extLst>
                <a:ext uri="{FF2B5EF4-FFF2-40B4-BE49-F238E27FC236}">
                  <a16:creationId xmlns:a16="http://schemas.microsoft.com/office/drawing/2014/main" id="{CF993FA4-6D58-4874-9972-77226DC555CB}"/>
                </a:ext>
              </a:extLst>
            </xdr:cNvPr>
            <xdr:cNvGraphicFramePr/>
          </xdr:nvGraphicFramePr>
          <xdr:xfrm>
            <a:off x="0" y="0"/>
            <a:ext cx="0" cy="0"/>
          </xdr:xfrm>
          <a:graphic>
            <a:graphicData uri="http://schemas.microsoft.com/office/drawing/2010/slicer">
              <sle:slicer xmlns:sle="http://schemas.microsoft.com/office/drawing/2010/slicer" name="Description of Goods"/>
            </a:graphicData>
          </a:graphic>
        </xdr:graphicFrame>
      </mc:Choice>
      <mc:Fallback>
        <xdr:sp macro="" textlink="">
          <xdr:nvSpPr>
            <xdr:cNvPr id="0" name=""/>
            <xdr:cNvSpPr>
              <a:spLocks noTextEdit="1"/>
            </xdr:cNvSpPr>
          </xdr:nvSpPr>
          <xdr:spPr>
            <a:xfrm>
              <a:off x="13411200" y="548641"/>
              <a:ext cx="1828800" cy="853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22860</xdr:colOff>
      <xdr:row>7</xdr:row>
      <xdr:rowOff>60961</xdr:rowOff>
    </xdr:from>
    <xdr:to>
      <xdr:col>24</xdr:col>
      <xdr:colOff>487680</xdr:colOff>
      <xdr:row>12</xdr:row>
      <xdr:rowOff>129541</xdr:rowOff>
    </xdr:to>
    <mc:AlternateContent xmlns:mc="http://schemas.openxmlformats.org/markup-compatibility/2006">
      <mc:Choice xmlns:a14="http://schemas.microsoft.com/office/drawing/2010/main" Requires="a14">
        <xdr:graphicFrame macro="">
          <xdr:nvGraphicFramePr>
            <xdr:cNvPr id="11" name="Firm Name ">
              <a:extLst>
                <a:ext uri="{FF2B5EF4-FFF2-40B4-BE49-F238E27FC236}">
                  <a16:creationId xmlns:a16="http://schemas.microsoft.com/office/drawing/2014/main" id="{C87858DD-63F1-4FB1-A08B-ACD2D0055B02}"/>
                </a:ext>
              </a:extLst>
            </xdr:cNvPr>
            <xdr:cNvGraphicFramePr/>
          </xdr:nvGraphicFramePr>
          <xdr:xfrm>
            <a:off x="0" y="0"/>
            <a:ext cx="0" cy="0"/>
          </xdr:xfrm>
          <a:graphic>
            <a:graphicData uri="http://schemas.microsoft.com/office/drawing/2010/slicer">
              <sle:slicer xmlns:sle="http://schemas.microsoft.com/office/drawing/2010/slicer" name="Firm Name "/>
            </a:graphicData>
          </a:graphic>
        </xdr:graphicFrame>
      </mc:Choice>
      <mc:Fallback>
        <xdr:sp macro="" textlink="">
          <xdr:nvSpPr>
            <xdr:cNvPr id="0" name=""/>
            <xdr:cNvSpPr>
              <a:spLocks noTextEdit="1"/>
            </xdr:cNvSpPr>
          </xdr:nvSpPr>
          <xdr:spPr>
            <a:xfrm>
              <a:off x="13434060" y="1386841"/>
              <a:ext cx="1684020" cy="982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586740</xdr:colOff>
      <xdr:row>20</xdr:row>
      <xdr:rowOff>30480</xdr:rowOff>
    </xdr:from>
    <xdr:to>
      <xdr:col>20</xdr:col>
      <xdr:colOff>586740</xdr:colOff>
      <xdr:row>32</xdr:row>
      <xdr:rowOff>83820</xdr:rowOff>
    </xdr:to>
    <mc:AlternateContent xmlns:mc="http://schemas.openxmlformats.org/markup-compatibility/2006">
      <mc:Choice xmlns:a14="http://schemas.microsoft.com/office/drawing/2010/main" Requires="a14">
        <xdr:graphicFrame macro="">
          <xdr:nvGraphicFramePr>
            <xdr:cNvPr id="13" name="Tax Rate">
              <a:extLst>
                <a:ext uri="{FF2B5EF4-FFF2-40B4-BE49-F238E27FC236}">
                  <a16:creationId xmlns:a16="http://schemas.microsoft.com/office/drawing/2014/main" id="{5D1B8B65-F07E-4FF4-B1B4-D1EC91AA536A}"/>
                </a:ext>
              </a:extLst>
            </xdr:cNvPr>
            <xdr:cNvGraphicFramePr/>
          </xdr:nvGraphicFramePr>
          <xdr:xfrm>
            <a:off x="0" y="0"/>
            <a:ext cx="0" cy="0"/>
          </xdr:xfrm>
          <a:graphic>
            <a:graphicData uri="http://schemas.microsoft.com/office/drawing/2010/slicer">
              <sle:slicer xmlns:sle="http://schemas.microsoft.com/office/drawing/2010/slicer" name="Tax Rate"/>
            </a:graphicData>
          </a:graphic>
        </xdr:graphicFrame>
      </mc:Choice>
      <mc:Fallback>
        <xdr:sp macro="" textlink="">
          <xdr:nvSpPr>
            <xdr:cNvPr id="0" name=""/>
            <xdr:cNvSpPr>
              <a:spLocks noTextEdit="1"/>
            </xdr:cNvSpPr>
          </xdr:nvSpPr>
          <xdr:spPr>
            <a:xfrm>
              <a:off x="10949940" y="3733800"/>
              <a:ext cx="18288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15240</xdr:colOff>
      <xdr:row>13</xdr:row>
      <xdr:rowOff>0</xdr:rowOff>
    </xdr:from>
    <xdr:to>
      <xdr:col>25</xdr:col>
      <xdr:colOff>15240</xdr:colOff>
      <xdr:row>18</xdr:row>
      <xdr:rowOff>76200</xdr:rowOff>
    </xdr:to>
    <mc:AlternateContent xmlns:mc="http://schemas.openxmlformats.org/markup-compatibility/2006">
      <mc:Choice xmlns:a14="http://schemas.microsoft.com/office/drawing/2010/main" Requires="a14">
        <xdr:graphicFrame macro="">
          <xdr:nvGraphicFramePr>
            <xdr:cNvPr id="14" name="State">
              <a:extLst>
                <a:ext uri="{FF2B5EF4-FFF2-40B4-BE49-F238E27FC236}">
                  <a16:creationId xmlns:a16="http://schemas.microsoft.com/office/drawing/2014/main" id="{26973117-DC5F-4F6C-8D6F-13DBBB37178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3426440" y="2423160"/>
              <a:ext cx="182880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45720</xdr:colOff>
      <xdr:row>20</xdr:row>
      <xdr:rowOff>30480</xdr:rowOff>
    </xdr:from>
    <xdr:to>
      <xdr:col>24</xdr:col>
      <xdr:colOff>198120</xdr:colOff>
      <xdr:row>31</xdr:row>
      <xdr:rowOff>0</xdr:rowOff>
    </xdr:to>
    <mc:AlternateContent xmlns:mc="http://schemas.openxmlformats.org/markup-compatibility/2006">
      <mc:Choice xmlns:a14="http://schemas.microsoft.com/office/drawing/2010/main" Requires="a14">
        <xdr:graphicFrame macro="">
          <xdr:nvGraphicFramePr>
            <xdr:cNvPr id="15" name="Months (Date)">
              <a:extLst>
                <a:ext uri="{FF2B5EF4-FFF2-40B4-BE49-F238E27FC236}">
                  <a16:creationId xmlns:a16="http://schemas.microsoft.com/office/drawing/2014/main" id="{0DF131B0-EA56-4A70-940D-0898A3B7EE84}"/>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2847320" y="3733800"/>
              <a:ext cx="1981200" cy="198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312420</xdr:colOff>
      <xdr:row>1</xdr:row>
      <xdr:rowOff>175260</xdr:rowOff>
    </xdr:from>
    <xdr:to>
      <xdr:col>21</xdr:col>
      <xdr:colOff>220980</xdr:colOff>
      <xdr:row>26</xdr:row>
      <xdr:rowOff>167640</xdr:rowOff>
    </xdr:to>
    <xdr:pic>
      <xdr:nvPicPr>
        <xdr:cNvPr id="2" name="Picture 1">
          <a:extLst>
            <a:ext uri="{FF2B5EF4-FFF2-40B4-BE49-F238E27FC236}">
              <a16:creationId xmlns:a16="http://schemas.microsoft.com/office/drawing/2014/main" id="{FF0FC5B3-BDA9-424E-A0B9-B933A6A65E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31620" y="358140"/>
          <a:ext cx="11490960" cy="45643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dashboar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ood" refreshedDate="43944.159847569441" createdVersion="5" refreshedVersion="5" minRefreshableVersion="3" recordCount="36" xr:uid="{00000000-000A-0000-FFFF-FFFF00000000}">
  <cacheSource type="worksheet">
    <worksheetSource ref="A1:P37" sheet="DATA" r:id="rId2"/>
  </cacheSource>
  <cacheFields count="16">
    <cacheField name="Firm Name " numFmtId="0">
      <sharedItems count="2">
        <s v="JK Enterprise"/>
        <s v="SR Hardware"/>
      </sharedItems>
    </cacheField>
    <cacheField name="State" numFmtId="0">
      <sharedItems count="2">
        <s v="Local"/>
        <s v="INTERSTATE"/>
      </sharedItems>
    </cacheField>
    <cacheField name="Invoice No." numFmtId="0">
      <sharedItems containsSemiMixedTypes="0" containsString="0" containsNumber="1" containsInteger="1" minValue="23" maxValue="58"/>
    </cacheField>
    <cacheField name="Date" numFmtId="14">
      <sharedItems containsSemiMixedTypes="0" containsNonDate="0" containsDate="1" containsString="0" minDate="2020-04-01T00:00:00" maxDate="2021-07-04T00:00:00" count="36">
        <d v="2020-04-01T00:00:00"/>
        <d v="2020-06-04T00:00:00"/>
        <d v="2020-07-04T00:00:00"/>
        <d v="2020-05-05T00:00:00"/>
        <d v="2020-06-05T00:00:00"/>
        <d v="2020-07-05T00:00:00"/>
        <d v="2020-05-06T00:00:00"/>
        <d v="2020-06-06T00:00:00"/>
        <d v="2020-07-06T00:00:00"/>
        <d v="2020-05-07T00:00:00"/>
        <d v="2020-06-07T00:00:00"/>
        <d v="2020-07-07T00:00:00"/>
        <d v="2020-05-08T00:00:00"/>
        <d v="2020-06-08T00:00:00"/>
        <d v="2020-07-08T00:00:00"/>
        <d v="2020-05-09T00:00:00"/>
        <d v="2020-06-09T00:00:00"/>
        <d v="2020-07-09T00:00:00"/>
        <d v="2020-05-10T00:00:00"/>
        <d v="2020-06-10T00:00:00"/>
        <d v="2020-07-10T00:00:00"/>
        <d v="2020-05-11T00:00:00"/>
        <d v="2020-06-11T00:00:00"/>
        <d v="2020-07-11T00:00:00"/>
        <d v="2020-05-12T00:00:00"/>
        <d v="2020-06-12T00:00:00"/>
        <d v="2020-07-12T00:00:00"/>
        <d v="2021-05-01T00:00:00"/>
        <d v="2021-06-01T00:00:00"/>
        <d v="2021-07-01T00:00:00"/>
        <d v="2021-05-02T00:00:00"/>
        <d v="2021-06-02T00:00:00"/>
        <d v="2021-07-02T00:00:00"/>
        <d v="2021-05-03T00:00:00"/>
        <d v="2021-06-03T00:00:00"/>
        <d v="2021-07-03T00:00:00"/>
      </sharedItems>
      <fieldGroup base="3">
        <rangePr groupBy="months" startDate="2020-04-01T00:00:00" endDate="2021-07-04T00:00:00"/>
        <groupItems count="14">
          <s v="&lt;01-04-2020"/>
          <s v="Jan"/>
          <s v="Feb"/>
          <s v="Mar"/>
          <s v="Apr"/>
          <s v="May"/>
          <s v="Jun"/>
          <s v="Jul"/>
          <s v="Aug"/>
          <s v="Sep"/>
          <s v="Oct"/>
          <s v="Nov"/>
          <s v="Dec"/>
          <s v="&gt;04-07-2021"/>
        </groupItems>
      </fieldGroup>
    </cacheField>
    <cacheField name="Tax Rate" numFmtId="10">
      <sharedItems containsSemiMixedTypes="0" containsString="0" containsNumber="1" minValue="0" maxValue="0.28000000000000003" count="7">
        <n v="0.18"/>
        <n v="0.12"/>
        <n v="0.03"/>
        <n v="0"/>
        <n v="0.28000000000000003"/>
        <n v="0.05"/>
        <n v="1E-3"/>
      </sharedItems>
    </cacheField>
    <cacheField name="Description of Goods" numFmtId="0">
      <sharedItems count="2">
        <s v="Plywood 6mm"/>
        <s v="Plywood 4mm"/>
      </sharedItems>
    </cacheField>
    <cacheField name="Qty" numFmtId="0">
      <sharedItems containsSemiMixedTypes="0" containsString="0" containsNumber="1" containsInteger="1" minValue="2" maxValue="62"/>
    </cacheField>
    <cacheField name="Unit" numFmtId="10">
      <sharedItems/>
    </cacheField>
    <cacheField name="Rate" numFmtId="4">
      <sharedItems containsSemiMixedTypes="0" containsString="0" containsNumber="1" containsInteger="1" minValue="1115" maxValue="2225"/>
    </cacheField>
    <cacheField name="Taxable Value" numFmtId="4">
      <sharedItems containsSemiMixedTypes="0" containsString="0" containsNumber="1" containsInteger="1" minValue="2230" maxValue="69130"/>
    </cacheField>
    <cacheField name="IGST" numFmtId="4">
      <sharedItems containsSemiMixedTypes="0" containsString="0" containsNumber="1" minValue="0" maxValue="8429.4"/>
    </cacheField>
    <cacheField name="CGST" numFmtId="4">
      <sharedItems containsSemiMixedTypes="0" containsString="0" containsNumber="1" minValue="0" maxValue="7805.0000000000009"/>
    </cacheField>
    <cacheField name="SGST" numFmtId="4">
      <sharedItems containsSemiMixedTypes="0" containsString="0" containsNumber="1" minValue="0" maxValue="7805.0000000000009"/>
    </cacheField>
    <cacheField name="CESS" numFmtId="4">
      <sharedItems containsNonDate="0" containsString="0" containsBlank="1"/>
    </cacheField>
    <cacheField name="TOTAL" numFmtId="4">
      <sharedItems containsSemiMixedTypes="0" containsString="0" containsNumber="1" minValue="2341.5" maxValue="72586.5"/>
    </cacheField>
    <cacheField name="INVOICE VALUE" numFmtId="4">
      <sharedItems containsSemiMixedTypes="0" containsString="0" containsNumber="1" minValue="2341.5" maxValue="72586.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49.701691666669" createdVersion="8" refreshedVersion="8" minRefreshableVersion="3" recordCount="36" xr:uid="{6A7E8F1E-4731-4611-A4C8-E3713CA1B645}">
  <cacheSource type="worksheet">
    <worksheetSource ref="A1:P37" sheet="DATA"/>
  </cacheSource>
  <cacheFields count="19">
    <cacheField name="Firm Name " numFmtId="0">
      <sharedItems count="2">
        <s v="JK Enterprise"/>
        <s v="SR Hardware"/>
      </sharedItems>
    </cacheField>
    <cacheField name="State" numFmtId="0">
      <sharedItems count="2">
        <s v="Local"/>
        <s v="INTERSTATE"/>
      </sharedItems>
    </cacheField>
    <cacheField name="Invoice No." numFmtId="0">
      <sharedItems containsSemiMixedTypes="0" containsString="0" containsNumber="1" containsInteger="1" minValue="23" maxValue="58"/>
    </cacheField>
    <cacheField name="Date" numFmtId="14">
      <sharedItems containsSemiMixedTypes="0" containsNonDate="0" containsDate="1" containsString="0" minDate="2020-04-01T00:00:00" maxDate="2021-07-04T00:00:00" count="36">
        <d v="2020-04-01T00:00:00"/>
        <d v="2020-06-04T00:00:00"/>
        <d v="2020-07-04T00:00:00"/>
        <d v="2020-05-05T00:00:00"/>
        <d v="2020-06-05T00:00:00"/>
        <d v="2020-07-05T00:00:00"/>
        <d v="2020-05-06T00:00:00"/>
        <d v="2020-06-06T00:00:00"/>
        <d v="2020-07-06T00:00:00"/>
        <d v="2020-05-07T00:00:00"/>
        <d v="2020-06-07T00:00:00"/>
        <d v="2020-07-07T00:00:00"/>
        <d v="2020-05-08T00:00:00"/>
        <d v="2020-06-08T00:00:00"/>
        <d v="2020-07-08T00:00:00"/>
        <d v="2020-05-09T00:00:00"/>
        <d v="2020-06-09T00:00:00"/>
        <d v="2020-07-09T00:00:00"/>
        <d v="2020-05-10T00:00:00"/>
        <d v="2020-06-10T00:00:00"/>
        <d v="2020-07-10T00:00:00"/>
        <d v="2020-05-11T00:00:00"/>
        <d v="2020-06-11T00:00:00"/>
        <d v="2020-07-11T00:00:00"/>
        <d v="2020-05-12T00:00:00"/>
        <d v="2020-06-12T00:00:00"/>
        <d v="2020-07-12T00:00:00"/>
        <d v="2021-05-01T00:00:00"/>
        <d v="2021-06-01T00:00:00"/>
        <d v="2021-07-01T00:00:00"/>
        <d v="2021-05-02T00:00:00"/>
        <d v="2021-06-02T00:00:00"/>
        <d v="2021-07-02T00:00:00"/>
        <d v="2021-05-03T00:00:00"/>
        <d v="2021-06-03T00:00:00"/>
        <d v="2021-07-03T00:00:00"/>
      </sharedItems>
      <fieldGroup par="18"/>
    </cacheField>
    <cacheField name="Tax Rate" numFmtId="10">
      <sharedItems containsSemiMixedTypes="0" containsString="0" containsNumber="1" minValue="0" maxValue="0.28000000000000003" count="7">
        <n v="0.18"/>
        <n v="0.12"/>
        <n v="0.03"/>
        <n v="0"/>
        <n v="0.28000000000000003"/>
        <n v="0.05"/>
        <n v="1E-3"/>
      </sharedItems>
    </cacheField>
    <cacheField name="Description of Goods" numFmtId="0">
      <sharedItems count="2">
        <s v="Plywood 6mm"/>
        <s v="Plywood 4mm"/>
      </sharedItems>
    </cacheField>
    <cacheField name="Qty" numFmtId="0">
      <sharedItems containsSemiMixedTypes="0" containsString="0" containsNumber="1" containsInteger="1" minValue="2" maxValue="62"/>
    </cacheField>
    <cacheField name="Unit" numFmtId="10">
      <sharedItems/>
    </cacheField>
    <cacheField name="Rate" numFmtId="4">
      <sharedItems containsSemiMixedTypes="0" containsString="0" containsNumber="1" containsInteger="1" minValue="1115" maxValue="2225"/>
    </cacheField>
    <cacheField name="Taxable Value" numFmtId="4">
      <sharedItems containsSemiMixedTypes="0" containsString="0" containsNumber="1" containsInteger="1" minValue="2230" maxValue="69130"/>
    </cacheField>
    <cacheField name="IGST" numFmtId="4">
      <sharedItems containsSemiMixedTypes="0" containsString="0" containsNumber="1" minValue="0" maxValue="8429.4"/>
    </cacheField>
    <cacheField name="CGST" numFmtId="4">
      <sharedItems containsSemiMixedTypes="0" containsString="0" containsNumber="1" minValue="0" maxValue="7805.0000000000009"/>
    </cacheField>
    <cacheField name="SGST" numFmtId="4">
      <sharedItems containsSemiMixedTypes="0" containsString="0" containsNumber="1" minValue="0" maxValue="7805.0000000000009"/>
    </cacheField>
    <cacheField name="CESS" numFmtId="4">
      <sharedItems containsNonDate="0" containsString="0" containsBlank="1"/>
    </cacheField>
    <cacheField name="TOTAL" numFmtId="4">
      <sharedItems containsSemiMixedTypes="0" containsString="0" containsNumber="1" minValue="2341.5" maxValue="72586.5"/>
    </cacheField>
    <cacheField name="INVOICE VALUE" numFmtId="4">
      <sharedItems containsSemiMixedTypes="0" containsString="0" containsNumber="1" minValue="2341.5" maxValue="72586.5"/>
    </cacheField>
    <cacheField name="Months (Date)" numFmtId="0" databaseField="0">
      <fieldGroup base="3">
        <rangePr groupBy="months" startDate="2020-04-01T00:00:00" endDate="2021-07-04T00:00:00"/>
        <groupItems count="14">
          <s v="&lt;4/1/2020"/>
          <s v="Jan"/>
          <s v="Feb"/>
          <s v="Mar"/>
          <s v="Apr"/>
          <s v="May"/>
          <s v="Jun"/>
          <s v="Jul"/>
          <s v="Aug"/>
          <s v="Sep"/>
          <s v="Oct"/>
          <s v="Nov"/>
          <s v="Dec"/>
          <s v="&gt;7/4/2021"/>
        </groupItems>
      </fieldGroup>
    </cacheField>
    <cacheField name="Quarters (Date)" numFmtId="0" databaseField="0">
      <fieldGroup base="3">
        <rangePr groupBy="quarters" startDate="2020-04-01T00:00:00" endDate="2021-07-04T00:00:00"/>
        <groupItems count="6">
          <s v="&lt;4/1/2020"/>
          <s v="Qtr1"/>
          <s v="Qtr2"/>
          <s v="Qtr3"/>
          <s v="Qtr4"/>
          <s v="&gt;7/4/2021"/>
        </groupItems>
      </fieldGroup>
    </cacheField>
    <cacheField name="Years (Date)" numFmtId="0" databaseField="0">
      <fieldGroup base="3">
        <rangePr groupBy="years" startDate="2020-04-01T00:00:00" endDate="2021-07-04T00:00:00"/>
        <groupItems count="4">
          <s v="&lt;4/1/2020"/>
          <s v="2020"/>
          <s v="2021"/>
          <s v="&gt;7/4/2021"/>
        </groupItems>
      </fieldGroup>
    </cacheField>
  </cacheFields>
  <extLst>
    <ext xmlns:x14="http://schemas.microsoft.com/office/spreadsheetml/2009/9/main" uri="{725AE2AE-9491-48be-B2B4-4EB974FC3084}">
      <x14:pivotCacheDefinition pivotCacheId="397012591"/>
    </ext>
  </extLst>
</pivotCacheDefinition>
</file>

<file path=xl/pivotCache/pivotCacheRecords1.xml><?xml version="1.0" encoding="utf-8"?>
<pivotCacheRecords xmlns="http://schemas.openxmlformats.org/spreadsheetml/2006/main" xmlns:r="http://schemas.openxmlformats.org/officeDocument/2006/relationships" count="36">
  <r>
    <x v="0"/>
    <x v="0"/>
    <n v="23"/>
    <x v="0"/>
    <x v="0"/>
    <x v="0"/>
    <n v="8"/>
    <s v="PCS"/>
    <n v="2225"/>
    <n v="17800"/>
    <n v="0"/>
    <n v="1602"/>
    <n v="1602"/>
    <m/>
    <n v="21004"/>
    <n v="21004"/>
  </r>
  <r>
    <x v="0"/>
    <x v="0"/>
    <n v="24"/>
    <x v="1"/>
    <x v="1"/>
    <x v="1"/>
    <n v="2"/>
    <s v="PCS"/>
    <n v="1670"/>
    <n v="3340"/>
    <n v="0"/>
    <n v="200.4"/>
    <n v="200.4"/>
    <m/>
    <n v="3740.8"/>
    <n v="3740.8"/>
  </r>
  <r>
    <x v="0"/>
    <x v="0"/>
    <n v="25"/>
    <x v="2"/>
    <x v="2"/>
    <x v="0"/>
    <n v="10"/>
    <s v="PCS"/>
    <n v="1115"/>
    <n v="11150"/>
    <n v="0"/>
    <n v="167.25"/>
    <n v="167.25"/>
    <m/>
    <n v="11484.5"/>
    <n v="11484.5"/>
  </r>
  <r>
    <x v="0"/>
    <x v="1"/>
    <n v="26"/>
    <x v="3"/>
    <x v="3"/>
    <x v="1"/>
    <n v="3"/>
    <s v="PCS"/>
    <n v="1115"/>
    <n v="3345"/>
    <n v="0"/>
    <n v="0"/>
    <n v="0"/>
    <m/>
    <n v="3345"/>
    <n v="3345"/>
  </r>
  <r>
    <x v="0"/>
    <x v="0"/>
    <n v="27"/>
    <x v="4"/>
    <x v="4"/>
    <x v="0"/>
    <n v="4"/>
    <s v="PCS"/>
    <n v="1115"/>
    <n v="4460"/>
    <n v="0"/>
    <n v="624.40000000000009"/>
    <n v="624.40000000000009"/>
    <m/>
    <n v="5708.7999999999993"/>
    <n v="5708.7999999999993"/>
  </r>
  <r>
    <x v="0"/>
    <x v="0"/>
    <n v="28"/>
    <x v="5"/>
    <x v="5"/>
    <x v="1"/>
    <n v="24"/>
    <s v="PCS"/>
    <n v="1115"/>
    <n v="26760"/>
    <n v="0"/>
    <n v="669"/>
    <n v="669"/>
    <m/>
    <n v="28098"/>
    <n v="28098"/>
  </r>
  <r>
    <x v="0"/>
    <x v="0"/>
    <n v="29"/>
    <x v="6"/>
    <x v="6"/>
    <x v="0"/>
    <n v="30"/>
    <s v="PCS"/>
    <n v="1115"/>
    <n v="33450"/>
    <n v="0"/>
    <n v="16.725000000000001"/>
    <n v="16.725000000000001"/>
    <m/>
    <n v="33483.449999999997"/>
    <n v="33483.449999999997"/>
  </r>
  <r>
    <x v="0"/>
    <x v="0"/>
    <n v="30"/>
    <x v="7"/>
    <x v="2"/>
    <x v="1"/>
    <n v="12"/>
    <s v="PCS"/>
    <n v="1115"/>
    <n v="13380"/>
    <n v="0"/>
    <n v="200.7"/>
    <n v="200.7"/>
    <m/>
    <n v="13781.400000000001"/>
    <n v="13781.400000000001"/>
  </r>
  <r>
    <x v="1"/>
    <x v="0"/>
    <n v="31"/>
    <x v="8"/>
    <x v="0"/>
    <x v="0"/>
    <n v="17"/>
    <s v="PCS"/>
    <n v="1115"/>
    <n v="18955"/>
    <n v="0"/>
    <n v="1705.95"/>
    <n v="1705.95"/>
    <m/>
    <n v="22366.9"/>
    <n v="22366.9"/>
  </r>
  <r>
    <x v="1"/>
    <x v="0"/>
    <n v="32"/>
    <x v="9"/>
    <x v="6"/>
    <x v="1"/>
    <n v="16"/>
    <s v="PCS"/>
    <n v="1115"/>
    <n v="17840"/>
    <n v="0"/>
    <n v="8.92"/>
    <n v="8.92"/>
    <m/>
    <n v="17857.839999999997"/>
    <n v="17857.839999999997"/>
  </r>
  <r>
    <x v="1"/>
    <x v="0"/>
    <n v="33"/>
    <x v="10"/>
    <x v="4"/>
    <x v="0"/>
    <n v="50"/>
    <s v="PCS"/>
    <n v="1115"/>
    <n v="55750"/>
    <n v="0"/>
    <n v="7805.0000000000009"/>
    <n v="7805.0000000000009"/>
    <m/>
    <n v="71360"/>
    <n v="71360"/>
  </r>
  <r>
    <x v="1"/>
    <x v="0"/>
    <n v="34"/>
    <x v="11"/>
    <x v="3"/>
    <x v="1"/>
    <n v="21"/>
    <s v="PCS"/>
    <n v="1115"/>
    <n v="23415"/>
    <n v="0"/>
    <n v="0"/>
    <n v="0"/>
    <m/>
    <n v="23415"/>
    <n v="23415"/>
  </r>
  <r>
    <x v="0"/>
    <x v="1"/>
    <n v="35"/>
    <x v="12"/>
    <x v="5"/>
    <x v="0"/>
    <n v="25"/>
    <s v="PCS"/>
    <n v="1115"/>
    <n v="27875"/>
    <n v="1393.75"/>
    <n v="0"/>
    <n v="0"/>
    <m/>
    <n v="29268.75"/>
    <n v="29268.75"/>
  </r>
  <r>
    <x v="0"/>
    <x v="1"/>
    <n v="36"/>
    <x v="13"/>
    <x v="0"/>
    <x v="1"/>
    <n v="42"/>
    <s v="PCS"/>
    <n v="1115"/>
    <n v="46830"/>
    <n v="8429.4"/>
    <n v="0"/>
    <n v="0"/>
    <m/>
    <n v="55259.4"/>
    <n v="55259.4"/>
  </r>
  <r>
    <x v="0"/>
    <x v="0"/>
    <n v="37"/>
    <x v="14"/>
    <x v="6"/>
    <x v="0"/>
    <n v="32"/>
    <s v="PCS"/>
    <n v="1115"/>
    <n v="35680"/>
    <n v="0"/>
    <n v="17.84"/>
    <n v="17.84"/>
    <m/>
    <n v="35715.679999999993"/>
    <n v="35715.679999999993"/>
  </r>
  <r>
    <x v="0"/>
    <x v="0"/>
    <n v="38"/>
    <x v="15"/>
    <x v="3"/>
    <x v="1"/>
    <n v="10"/>
    <s v="PCS"/>
    <n v="1115"/>
    <n v="11150"/>
    <n v="0"/>
    <n v="0"/>
    <n v="0"/>
    <m/>
    <n v="11150"/>
    <n v="11150"/>
  </r>
  <r>
    <x v="0"/>
    <x v="0"/>
    <n v="39"/>
    <x v="16"/>
    <x v="4"/>
    <x v="0"/>
    <n v="20"/>
    <s v="PCS"/>
    <n v="1115"/>
    <n v="22300"/>
    <n v="0"/>
    <n v="3122.0000000000005"/>
    <n v="3122.0000000000005"/>
    <m/>
    <n v="28544"/>
    <n v="28544"/>
  </r>
  <r>
    <x v="1"/>
    <x v="0"/>
    <n v="40"/>
    <x v="17"/>
    <x v="1"/>
    <x v="1"/>
    <n v="30"/>
    <s v="PCS"/>
    <n v="1115"/>
    <n v="33450"/>
    <n v="0"/>
    <n v="2007"/>
    <n v="2007"/>
    <m/>
    <n v="37464"/>
    <n v="37464"/>
  </r>
  <r>
    <x v="1"/>
    <x v="1"/>
    <n v="41"/>
    <x v="18"/>
    <x v="2"/>
    <x v="0"/>
    <n v="45"/>
    <s v="PCS"/>
    <n v="1115"/>
    <n v="50175"/>
    <n v="1505.25"/>
    <n v="0"/>
    <n v="0"/>
    <m/>
    <n v="51680.25"/>
    <n v="51680.25"/>
  </r>
  <r>
    <x v="1"/>
    <x v="0"/>
    <n v="42"/>
    <x v="19"/>
    <x v="5"/>
    <x v="1"/>
    <n v="62"/>
    <s v="PCS"/>
    <n v="1115"/>
    <n v="69130"/>
    <n v="0"/>
    <n v="1728.25"/>
    <n v="1728.25"/>
    <m/>
    <n v="72586.5"/>
    <n v="72586.5"/>
  </r>
  <r>
    <x v="1"/>
    <x v="0"/>
    <n v="43"/>
    <x v="20"/>
    <x v="3"/>
    <x v="0"/>
    <n v="12"/>
    <s v="PCS"/>
    <n v="1115"/>
    <n v="13380"/>
    <n v="0"/>
    <n v="0"/>
    <n v="0"/>
    <m/>
    <n v="13380"/>
    <n v="13380"/>
  </r>
  <r>
    <x v="1"/>
    <x v="0"/>
    <n v="44"/>
    <x v="21"/>
    <x v="3"/>
    <x v="1"/>
    <n v="25"/>
    <s v="PCS"/>
    <n v="1115"/>
    <n v="27875"/>
    <n v="0"/>
    <n v="0"/>
    <n v="0"/>
    <m/>
    <n v="27875"/>
    <n v="27875"/>
  </r>
  <r>
    <x v="1"/>
    <x v="0"/>
    <n v="45"/>
    <x v="22"/>
    <x v="1"/>
    <x v="0"/>
    <n v="45"/>
    <s v="PCS"/>
    <n v="1115"/>
    <n v="50175"/>
    <n v="0"/>
    <n v="3010.5"/>
    <n v="3010.5"/>
    <m/>
    <n v="56196"/>
    <n v="56196"/>
  </r>
  <r>
    <x v="1"/>
    <x v="0"/>
    <n v="46"/>
    <x v="23"/>
    <x v="1"/>
    <x v="1"/>
    <n v="20"/>
    <s v="PCS"/>
    <n v="1115"/>
    <n v="22300"/>
    <n v="0"/>
    <n v="1338"/>
    <n v="1338"/>
    <m/>
    <n v="24976"/>
    <n v="24976"/>
  </r>
  <r>
    <x v="1"/>
    <x v="0"/>
    <n v="47"/>
    <x v="24"/>
    <x v="2"/>
    <x v="0"/>
    <n v="10"/>
    <s v="PCS"/>
    <n v="1115"/>
    <n v="11150"/>
    <n v="0"/>
    <n v="167.25"/>
    <n v="167.25"/>
    <m/>
    <n v="11484.5"/>
    <n v="11484.5"/>
  </r>
  <r>
    <x v="0"/>
    <x v="0"/>
    <n v="48"/>
    <x v="25"/>
    <x v="4"/>
    <x v="1"/>
    <n v="35"/>
    <s v="PCS"/>
    <n v="1115"/>
    <n v="39025"/>
    <n v="0"/>
    <n v="5463.5000000000009"/>
    <n v="5463.5000000000009"/>
    <m/>
    <n v="49952"/>
    <n v="49952"/>
  </r>
  <r>
    <x v="0"/>
    <x v="0"/>
    <n v="49"/>
    <x v="26"/>
    <x v="1"/>
    <x v="0"/>
    <n v="15"/>
    <s v="PCS"/>
    <n v="1115"/>
    <n v="16725"/>
    <n v="0"/>
    <n v="1003.5"/>
    <n v="1003.5"/>
    <m/>
    <n v="18732"/>
    <n v="18732"/>
  </r>
  <r>
    <x v="0"/>
    <x v="0"/>
    <n v="50"/>
    <x v="27"/>
    <x v="2"/>
    <x v="1"/>
    <n v="25"/>
    <s v="PCS"/>
    <n v="1115"/>
    <n v="27875"/>
    <n v="0"/>
    <n v="418.125"/>
    <n v="418.125"/>
    <m/>
    <n v="28711.25"/>
    <n v="28711.25"/>
  </r>
  <r>
    <x v="0"/>
    <x v="0"/>
    <n v="51"/>
    <x v="28"/>
    <x v="4"/>
    <x v="0"/>
    <n v="10"/>
    <s v="PCS"/>
    <n v="1115"/>
    <n v="11150"/>
    <n v="0"/>
    <n v="1561.0000000000002"/>
    <n v="1561.0000000000002"/>
    <m/>
    <n v="14272"/>
    <n v="14272"/>
  </r>
  <r>
    <x v="0"/>
    <x v="0"/>
    <n v="52"/>
    <x v="29"/>
    <x v="5"/>
    <x v="1"/>
    <n v="5"/>
    <s v="PCS"/>
    <n v="1115"/>
    <n v="5575"/>
    <n v="0"/>
    <n v="139.375"/>
    <n v="139.375"/>
    <m/>
    <n v="5853.75"/>
    <n v="5853.75"/>
  </r>
  <r>
    <x v="1"/>
    <x v="0"/>
    <n v="53"/>
    <x v="30"/>
    <x v="2"/>
    <x v="0"/>
    <n v="8"/>
    <s v="PCS"/>
    <n v="1115"/>
    <n v="8920"/>
    <n v="0"/>
    <n v="133.79999999999998"/>
    <n v="133.79999999999998"/>
    <m/>
    <n v="9187.5999999999985"/>
    <n v="9187.5999999999985"/>
  </r>
  <r>
    <x v="1"/>
    <x v="0"/>
    <n v="54"/>
    <x v="31"/>
    <x v="5"/>
    <x v="1"/>
    <n v="10"/>
    <s v="PCS"/>
    <n v="1115"/>
    <n v="11150"/>
    <n v="0"/>
    <n v="278.75"/>
    <n v="278.75"/>
    <m/>
    <n v="11707.5"/>
    <n v="11707.5"/>
  </r>
  <r>
    <x v="1"/>
    <x v="0"/>
    <n v="55"/>
    <x v="32"/>
    <x v="5"/>
    <x v="0"/>
    <n v="2"/>
    <s v="PCS"/>
    <n v="1115"/>
    <n v="2230"/>
    <n v="0"/>
    <n v="55.75"/>
    <n v="55.75"/>
    <m/>
    <n v="2341.5"/>
    <n v="2341.5"/>
  </r>
  <r>
    <x v="1"/>
    <x v="0"/>
    <n v="56"/>
    <x v="33"/>
    <x v="4"/>
    <x v="1"/>
    <n v="4"/>
    <s v="PCS"/>
    <n v="1115"/>
    <n v="4460"/>
    <n v="0"/>
    <n v="624.40000000000009"/>
    <n v="624.40000000000009"/>
    <m/>
    <n v="5708.7999999999993"/>
    <n v="5708.7999999999993"/>
  </r>
  <r>
    <x v="0"/>
    <x v="0"/>
    <n v="57"/>
    <x v="34"/>
    <x v="6"/>
    <x v="0"/>
    <n v="6"/>
    <s v="PCS"/>
    <n v="1115"/>
    <n v="6690"/>
    <n v="0"/>
    <n v="3.3450000000000002"/>
    <n v="3.3450000000000002"/>
    <m/>
    <n v="6696.6900000000005"/>
    <n v="6696.6900000000005"/>
  </r>
  <r>
    <x v="0"/>
    <x v="0"/>
    <n v="58"/>
    <x v="35"/>
    <x v="3"/>
    <x v="1"/>
    <n v="5"/>
    <s v="PCS"/>
    <n v="1115"/>
    <n v="5575"/>
    <n v="0"/>
    <n v="0"/>
    <n v="0"/>
    <m/>
    <n v="5575"/>
    <n v="55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n v="23"/>
    <x v="0"/>
    <x v="0"/>
    <x v="0"/>
    <n v="8"/>
    <s v="PCS"/>
    <n v="2225"/>
    <n v="17800"/>
    <n v="0"/>
    <n v="1602"/>
    <n v="1602"/>
    <m/>
    <n v="21004"/>
    <n v="21004"/>
  </r>
  <r>
    <x v="0"/>
    <x v="0"/>
    <n v="24"/>
    <x v="1"/>
    <x v="1"/>
    <x v="1"/>
    <n v="2"/>
    <s v="PCS"/>
    <n v="1670"/>
    <n v="3340"/>
    <n v="0"/>
    <n v="200.4"/>
    <n v="200.4"/>
    <m/>
    <n v="3740.8"/>
    <n v="3740.8"/>
  </r>
  <r>
    <x v="0"/>
    <x v="0"/>
    <n v="25"/>
    <x v="2"/>
    <x v="2"/>
    <x v="0"/>
    <n v="10"/>
    <s v="PCS"/>
    <n v="1115"/>
    <n v="11150"/>
    <n v="0"/>
    <n v="167.25"/>
    <n v="167.25"/>
    <m/>
    <n v="11484.5"/>
    <n v="11484.5"/>
  </r>
  <r>
    <x v="0"/>
    <x v="1"/>
    <n v="26"/>
    <x v="3"/>
    <x v="3"/>
    <x v="1"/>
    <n v="3"/>
    <s v="PCS"/>
    <n v="1115"/>
    <n v="3345"/>
    <n v="0"/>
    <n v="0"/>
    <n v="0"/>
    <m/>
    <n v="3345"/>
    <n v="3345"/>
  </r>
  <r>
    <x v="0"/>
    <x v="0"/>
    <n v="27"/>
    <x v="4"/>
    <x v="4"/>
    <x v="0"/>
    <n v="4"/>
    <s v="PCS"/>
    <n v="1115"/>
    <n v="4460"/>
    <n v="0"/>
    <n v="624.40000000000009"/>
    <n v="624.40000000000009"/>
    <m/>
    <n v="5708.7999999999993"/>
    <n v="5708.7999999999993"/>
  </r>
  <r>
    <x v="0"/>
    <x v="0"/>
    <n v="28"/>
    <x v="5"/>
    <x v="5"/>
    <x v="1"/>
    <n v="24"/>
    <s v="PCS"/>
    <n v="1115"/>
    <n v="26760"/>
    <n v="0"/>
    <n v="669"/>
    <n v="669"/>
    <m/>
    <n v="28098"/>
    <n v="28098"/>
  </r>
  <r>
    <x v="0"/>
    <x v="0"/>
    <n v="29"/>
    <x v="6"/>
    <x v="6"/>
    <x v="0"/>
    <n v="30"/>
    <s v="PCS"/>
    <n v="1115"/>
    <n v="33450"/>
    <n v="0"/>
    <n v="16.725000000000001"/>
    <n v="16.725000000000001"/>
    <m/>
    <n v="33483.449999999997"/>
    <n v="33483.449999999997"/>
  </r>
  <r>
    <x v="0"/>
    <x v="0"/>
    <n v="30"/>
    <x v="7"/>
    <x v="2"/>
    <x v="1"/>
    <n v="12"/>
    <s v="PCS"/>
    <n v="1115"/>
    <n v="13380"/>
    <n v="0"/>
    <n v="200.7"/>
    <n v="200.7"/>
    <m/>
    <n v="13781.400000000001"/>
    <n v="13781.400000000001"/>
  </r>
  <r>
    <x v="1"/>
    <x v="0"/>
    <n v="31"/>
    <x v="8"/>
    <x v="0"/>
    <x v="0"/>
    <n v="17"/>
    <s v="PCS"/>
    <n v="1115"/>
    <n v="18955"/>
    <n v="0"/>
    <n v="1705.95"/>
    <n v="1705.95"/>
    <m/>
    <n v="22366.9"/>
    <n v="22366.9"/>
  </r>
  <r>
    <x v="1"/>
    <x v="0"/>
    <n v="32"/>
    <x v="9"/>
    <x v="6"/>
    <x v="1"/>
    <n v="16"/>
    <s v="PCS"/>
    <n v="1115"/>
    <n v="17840"/>
    <n v="0"/>
    <n v="8.92"/>
    <n v="8.92"/>
    <m/>
    <n v="17857.839999999997"/>
    <n v="17857.839999999997"/>
  </r>
  <r>
    <x v="1"/>
    <x v="0"/>
    <n v="33"/>
    <x v="10"/>
    <x v="4"/>
    <x v="0"/>
    <n v="50"/>
    <s v="PCS"/>
    <n v="1115"/>
    <n v="55750"/>
    <n v="0"/>
    <n v="7805.0000000000009"/>
    <n v="7805.0000000000009"/>
    <m/>
    <n v="71360"/>
    <n v="71360"/>
  </r>
  <r>
    <x v="1"/>
    <x v="0"/>
    <n v="34"/>
    <x v="11"/>
    <x v="3"/>
    <x v="1"/>
    <n v="21"/>
    <s v="PCS"/>
    <n v="1115"/>
    <n v="23415"/>
    <n v="0"/>
    <n v="0"/>
    <n v="0"/>
    <m/>
    <n v="23415"/>
    <n v="23415"/>
  </r>
  <r>
    <x v="0"/>
    <x v="1"/>
    <n v="35"/>
    <x v="12"/>
    <x v="5"/>
    <x v="0"/>
    <n v="25"/>
    <s v="PCS"/>
    <n v="1115"/>
    <n v="27875"/>
    <n v="1393.75"/>
    <n v="0"/>
    <n v="0"/>
    <m/>
    <n v="29268.75"/>
    <n v="29268.75"/>
  </r>
  <r>
    <x v="0"/>
    <x v="1"/>
    <n v="36"/>
    <x v="13"/>
    <x v="0"/>
    <x v="1"/>
    <n v="42"/>
    <s v="PCS"/>
    <n v="1115"/>
    <n v="46830"/>
    <n v="8429.4"/>
    <n v="0"/>
    <n v="0"/>
    <m/>
    <n v="55259.4"/>
    <n v="55259.4"/>
  </r>
  <r>
    <x v="0"/>
    <x v="0"/>
    <n v="37"/>
    <x v="14"/>
    <x v="6"/>
    <x v="0"/>
    <n v="32"/>
    <s v="PCS"/>
    <n v="1115"/>
    <n v="35680"/>
    <n v="0"/>
    <n v="17.84"/>
    <n v="17.84"/>
    <m/>
    <n v="35715.679999999993"/>
    <n v="35715.679999999993"/>
  </r>
  <r>
    <x v="0"/>
    <x v="0"/>
    <n v="38"/>
    <x v="15"/>
    <x v="3"/>
    <x v="1"/>
    <n v="10"/>
    <s v="PCS"/>
    <n v="1115"/>
    <n v="11150"/>
    <n v="0"/>
    <n v="0"/>
    <n v="0"/>
    <m/>
    <n v="11150"/>
    <n v="11150"/>
  </r>
  <r>
    <x v="0"/>
    <x v="0"/>
    <n v="39"/>
    <x v="16"/>
    <x v="4"/>
    <x v="0"/>
    <n v="20"/>
    <s v="PCS"/>
    <n v="1115"/>
    <n v="22300"/>
    <n v="0"/>
    <n v="3122.0000000000005"/>
    <n v="3122.0000000000005"/>
    <m/>
    <n v="28544"/>
    <n v="28544"/>
  </r>
  <r>
    <x v="1"/>
    <x v="0"/>
    <n v="40"/>
    <x v="17"/>
    <x v="1"/>
    <x v="1"/>
    <n v="30"/>
    <s v="PCS"/>
    <n v="1115"/>
    <n v="33450"/>
    <n v="0"/>
    <n v="2007"/>
    <n v="2007"/>
    <m/>
    <n v="37464"/>
    <n v="37464"/>
  </r>
  <r>
    <x v="1"/>
    <x v="1"/>
    <n v="41"/>
    <x v="18"/>
    <x v="2"/>
    <x v="0"/>
    <n v="45"/>
    <s v="PCS"/>
    <n v="1115"/>
    <n v="50175"/>
    <n v="1505.25"/>
    <n v="0"/>
    <n v="0"/>
    <m/>
    <n v="51680.25"/>
    <n v="51680.25"/>
  </r>
  <r>
    <x v="1"/>
    <x v="0"/>
    <n v="42"/>
    <x v="19"/>
    <x v="5"/>
    <x v="1"/>
    <n v="62"/>
    <s v="PCS"/>
    <n v="1115"/>
    <n v="69130"/>
    <n v="0"/>
    <n v="1728.25"/>
    <n v="1728.25"/>
    <m/>
    <n v="72586.5"/>
    <n v="72586.5"/>
  </r>
  <r>
    <x v="1"/>
    <x v="0"/>
    <n v="43"/>
    <x v="20"/>
    <x v="3"/>
    <x v="0"/>
    <n v="12"/>
    <s v="PCS"/>
    <n v="1115"/>
    <n v="13380"/>
    <n v="0"/>
    <n v="0"/>
    <n v="0"/>
    <m/>
    <n v="13380"/>
    <n v="13380"/>
  </r>
  <r>
    <x v="1"/>
    <x v="0"/>
    <n v="44"/>
    <x v="21"/>
    <x v="3"/>
    <x v="1"/>
    <n v="25"/>
    <s v="PCS"/>
    <n v="1115"/>
    <n v="27875"/>
    <n v="0"/>
    <n v="0"/>
    <n v="0"/>
    <m/>
    <n v="27875"/>
    <n v="27875"/>
  </r>
  <r>
    <x v="1"/>
    <x v="0"/>
    <n v="45"/>
    <x v="22"/>
    <x v="1"/>
    <x v="0"/>
    <n v="45"/>
    <s v="PCS"/>
    <n v="1115"/>
    <n v="50175"/>
    <n v="0"/>
    <n v="3010.5"/>
    <n v="3010.5"/>
    <m/>
    <n v="56196"/>
    <n v="56196"/>
  </r>
  <r>
    <x v="1"/>
    <x v="0"/>
    <n v="46"/>
    <x v="23"/>
    <x v="1"/>
    <x v="1"/>
    <n v="20"/>
    <s v="PCS"/>
    <n v="1115"/>
    <n v="22300"/>
    <n v="0"/>
    <n v="1338"/>
    <n v="1338"/>
    <m/>
    <n v="24976"/>
    <n v="24976"/>
  </r>
  <r>
    <x v="1"/>
    <x v="0"/>
    <n v="47"/>
    <x v="24"/>
    <x v="2"/>
    <x v="0"/>
    <n v="10"/>
    <s v="PCS"/>
    <n v="1115"/>
    <n v="11150"/>
    <n v="0"/>
    <n v="167.25"/>
    <n v="167.25"/>
    <m/>
    <n v="11484.5"/>
    <n v="11484.5"/>
  </r>
  <r>
    <x v="0"/>
    <x v="0"/>
    <n v="48"/>
    <x v="25"/>
    <x v="4"/>
    <x v="1"/>
    <n v="35"/>
    <s v="PCS"/>
    <n v="1115"/>
    <n v="39025"/>
    <n v="0"/>
    <n v="5463.5000000000009"/>
    <n v="5463.5000000000009"/>
    <m/>
    <n v="49952"/>
    <n v="49952"/>
  </r>
  <r>
    <x v="0"/>
    <x v="0"/>
    <n v="49"/>
    <x v="26"/>
    <x v="1"/>
    <x v="0"/>
    <n v="15"/>
    <s v="PCS"/>
    <n v="1115"/>
    <n v="16725"/>
    <n v="0"/>
    <n v="1003.5"/>
    <n v="1003.5"/>
    <m/>
    <n v="18732"/>
    <n v="18732"/>
  </r>
  <r>
    <x v="0"/>
    <x v="0"/>
    <n v="50"/>
    <x v="27"/>
    <x v="2"/>
    <x v="1"/>
    <n v="25"/>
    <s v="PCS"/>
    <n v="1115"/>
    <n v="27875"/>
    <n v="0"/>
    <n v="418.125"/>
    <n v="418.125"/>
    <m/>
    <n v="28711.25"/>
    <n v="28711.25"/>
  </r>
  <r>
    <x v="0"/>
    <x v="0"/>
    <n v="51"/>
    <x v="28"/>
    <x v="4"/>
    <x v="0"/>
    <n v="10"/>
    <s v="PCS"/>
    <n v="1115"/>
    <n v="11150"/>
    <n v="0"/>
    <n v="1561.0000000000002"/>
    <n v="1561.0000000000002"/>
    <m/>
    <n v="14272"/>
    <n v="14272"/>
  </r>
  <r>
    <x v="0"/>
    <x v="0"/>
    <n v="52"/>
    <x v="29"/>
    <x v="5"/>
    <x v="1"/>
    <n v="5"/>
    <s v="PCS"/>
    <n v="1115"/>
    <n v="5575"/>
    <n v="0"/>
    <n v="139.375"/>
    <n v="139.375"/>
    <m/>
    <n v="5853.75"/>
    <n v="5853.75"/>
  </r>
  <r>
    <x v="1"/>
    <x v="0"/>
    <n v="53"/>
    <x v="30"/>
    <x v="2"/>
    <x v="0"/>
    <n v="8"/>
    <s v="PCS"/>
    <n v="1115"/>
    <n v="8920"/>
    <n v="0"/>
    <n v="133.79999999999998"/>
    <n v="133.79999999999998"/>
    <m/>
    <n v="9187.5999999999985"/>
    <n v="9187.5999999999985"/>
  </r>
  <r>
    <x v="1"/>
    <x v="0"/>
    <n v="54"/>
    <x v="31"/>
    <x v="5"/>
    <x v="1"/>
    <n v="10"/>
    <s v="PCS"/>
    <n v="1115"/>
    <n v="11150"/>
    <n v="0"/>
    <n v="278.75"/>
    <n v="278.75"/>
    <m/>
    <n v="11707.5"/>
    <n v="11707.5"/>
  </r>
  <r>
    <x v="1"/>
    <x v="0"/>
    <n v="55"/>
    <x v="32"/>
    <x v="5"/>
    <x v="0"/>
    <n v="2"/>
    <s v="PCS"/>
    <n v="1115"/>
    <n v="2230"/>
    <n v="0"/>
    <n v="55.75"/>
    <n v="55.75"/>
    <m/>
    <n v="2341.5"/>
    <n v="2341.5"/>
  </r>
  <r>
    <x v="1"/>
    <x v="0"/>
    <n v="56"/>
    <x v="33"/>
    <x v="4"/>
    <x v="1"/>
    <n v="4"/>
    <s v="PCS"/>
    <n v="1115"/>
    <n v="4460"/>
    <n v="0"/>
    <n v="624.40000000000009"/>
    <n v="624.40000000000009"/>
    <m/>
    <n v="5708.7999999999993"/>
    <n v="5708.7999999999993"/>
  </r>
  <r>
    <x v="0"/>
    <x v="0"/>
    <n v="57"/>
    <x v="34"/>
    <x v="6"/>
    <x v="0"/>
    <n v="6"/>
    <s v="PCS"/>
    <n v="1115"/>
    <n v="6690"/>
    <n v="0"/>
    <n v="3.3450000000000002"/>
    <n v="3.3450000000000002"/>
    <m/>
    <n v="6696.6900000000005"/>
    <n v="6696.6900000000005"/>
  </r>
  <r>
    <x v="0"/>
    <x v="0"/>
    <n v="58"/>
    <x v="35"/>
    <x v="3"/>
    <x v="1"/>
    <n v="5"/>
    <s v="PCS"/>
    <n v="1115"/>
    <n v="5575"/>
    <n v="0"/>
    <n v="0"/>
    <n v="0"/>
    <m/>
    <n v="5575"/>
    <n v="55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T_FIRM"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location ref="A3:B6" firstHeaderRow="1" firstDataRow="1" firstDataCol="1"/>
  <pivotFields count="16">
    <pivotField axis="axisRow" showAll="0">
      <items count="3">
        <item x="0"/>
        <item x="1"/>
        <item t="default"/>
      </items>
    </pivotField>
    <pivotField showAll="0">
      <items count="3">
        <item x="1"/>
        <item x="0"/>
        <item t="default"/>
      </items>
    </pivotField>
    <pivotField showAll="0"/>
    <pivotField numFmtId="14" showAll="0">
      <items count="15">
        <item x="0"/>
        <item x="1"/>
        <item x="2"/>
        <item x="3"/>
        <item x="4"/>
        <item x="5"/>
        <item x="6"/>
        <item x="7"/>
        <item x="8"/>
        <item x="9"/>
        <item x="10"/>
        <item x="11"/>
        <item x="12"/>
        <item x="13"/>
        <item t="default"/>
      </items>
    </pivotField>
    <pivotField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s>
  <rowFields count="1">
    <field x="0"/>
  </rowFields>
  <rowItems count="3">
    <i>
      <x/>
    </i>
    <i>
      <x v="1"/>
    </i>
    <i t="grand">
      <x/>
    </i>
  </rowItems>
  <colItems count="1">
    <i/>
  </colItems>
  <dataFields count="1">
    <dataField name="Sum of TOTAL"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T_MTH"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location ref="A3:B8" firstHeaderRow="1" firstDataRow="1" firstDataCol="1"/>
  <pivotFields count="16">
    <pivotField showAll="0">
      <items count="3">
        <item x="0"/>
        <item x="1"/>
        <item t="default"/>
      </items>
    </pivotField>
    <pivotField showAll="0">
      <items count="3">
        <item x="1"/>
        <item x="0"/>
        <item t="default"/>
      </items>
    </pivotField>
    <pivotField showAll="0"/>
    <pivotField axis="axisRow" numFmtId="14" showAll="0">
      <items count="15">
        <item x="0"/>
        <item x="1"/>
        <item x="2"/>
        <item x="3"/>
        <item x="4"/>
        <item x="5"/>
        <item x="6"/>
        <item x="7"/>
        <item x="8"/>
        <item x="9"/>
        <item x="10"/>
        <item x="11"/>
        <item x="12"/>
        <item x="13"/>
        <item t="default"/>
      </items>
    </pivotField>
    <pivotField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s>
  <rowFields count="1">
    <field x="3"/>
  </rowFields>
  <rowItems count="5">
    <i>
      <x v="4"/>
    </i>
    <i>
      <x v="5"/>
    </i>
    <i>
      <x v="6"/>
    </i>
    <i>
      <x v="7"/>
    </i>
    <i t="grand">
      <x/>
    </i>
  </rowItems>
  <colItems count="1">
    <i/>
  </colItems>
  <dataFields count="1">
    <dataField name="Sum of TOTAL" fld="14"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_TAX"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5">
  <location ref="A3:F11" firstHeaderRow="0" firstDataRow="1" firstDataCol="1"/>
  <pivotFields count="16">
    <pivotField showAll="0">
      <items count="3">
        <item x="0"/>
        <item x="1"/>
        <item t="default"/>
      </items>
    </pivotField>
    <pivotField showAll="0">
      <items count="3">
        <item x="1"/>
        <item x="0"/>
        <item t="default"/>
      </items>
    </pivotField>
    <pivotField showAll="0"/>
    <pivotField numFmtId="14" showAll="0">
      <items count="15">
        <item x="0"/>
        <item x="1"/>
        <item x="2"/>
        <item x="3"/>
        <item x="4"/>
        <item x="5"/>
        <item x="6"/>
        <item x="7"/>
        <item x="8"/>
        <item x="9"/>
        <item x="10"/>
        <item x="11"/>
        <item x="12"/>
        <item x="13"/>
        <item t="default"/>
      </items>
    </pivotField>
    <pivotField axis="axisRow"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dataField="1" numFmtId="4" showAll="0"/>
    <pivotField dataField="1" numFmtId="4" showAll="0"/>
    <pivotField dataField="1" numFmtId="4" showAll="0"/>
    <pivotField dataField="1" showAll="0"/>
    <pivotField dataField="1" numFmtId="4" showAll="0"/>
    <pivotField numFmtId="4" showAll="0"/>
  </pivotFields>
  <rowFields count="1">
    <field x="4"/>
  </rowFields>
  <rowItems count="8">
    <i>
      <x/>
    </i>
    <i>
      <x v="1"/>
    </i>
    <i>
      <x v="2"/>
    </i>
    <i>
      <x v="3"/>
    </i>
    <i>
      <x v="4"/>
    </i>
    <i>
      <x v="5"/>
    </i>
    <i>
      <x v="6"/>
    </i>
    <i t="grand">
      <x/>
    </i>
  </rowItems>
  <colFields count="1">
    <field x="-2"/>
  </colFields>
  <colItems count="5">
    <i>
      <x/>
    </i>
    <i i="1">
      <x v="1"/>
    </i>
    <i i="2">
      <x v="2"/>
    </i>
    <i i="3">
      <x v="3"/>
    </i>
    <i i="4">
      <x v="4"/>
    </i>
  </colItems>
  <dataFields count="5">
    <dataField name="Sum of IGST" fld="10" baseField="0" baseItem="0"/>
    <dataField name="Sum of CGST" fld="11" baseField="0" baseItem="0"/>
    <dataField name="Sum of SGST" fld="12" baseField="0" baseItem="0"/>
    <dataField name="Count of CESS" fld="13" subtotal="count" baseField="0" baseItem="0"/>
    <dataField name="Sum of TOTAL" fld="14" baseField="0" baseItem="0"/>
  </dataFields>
  <chartFormats count="5">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 chart="3" format="8" series="1">
      <pivotArea type="data" outline="0" fieldPosition="0">
        <references count="1">
          <reference field="4294967294" count="1" selected="0">
            <x v="3"/>
          </reference>
        </references>
      </pivotArea>
    </chartFormat>
    <chartFormat chart="3" format="9"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_PRODUCT"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4">
  <location ref="A3:B6" firstHeaderRow="1" firstDataRow="1" firstDataCol="1"/>
  <pivotFields count="16">
    <pivotField showAll="0">
      <items count="3">
        <item x="0"/>
        <item x="1"/>
        <item t="default"/>
      </items>
    </pivotField>
    <pivotField showAll="0">
      <items count="3">
        <item x="1"/>
        <item x="0"/>
        <item t="default"/>
      </items>
    </pivotField>
    <pivotField showAll="0"/>
    <pivotField numFmtId="14" showAll="0">
      <items count="15">
        <item x="0"/>
        <item x="1"/>
        <item x="2"/>
        <item x="3"/>
        <item x="4"/>
        <item x="5"/>
        <item x="6"/>
        <item x="7"/>
        <item x="8"/>
        <item x="9"/>
        <item x="10"/>
        <item x="11"/>
        <item x="12"/>
        <item x="13"/>
        <item t="default"/>
      </items>
    </pivotField>
    <pivotField numFmtId="10" showAll="0">
      <items count="8">
        <item x="3"/>
        <item x="6"/>
        <item x="2"/>
        <item x="5"/>
        <item x="1"/>
        <item x="0"/>
        <item x="4"/>
        <item t="default"/>
      </items>
    </pivotField>
    <pivotField axis="axisRow"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s>
  <rowFields count="1">
    <field x="5"/>
  </rowFields>
  <rowItems count="3">
    <i>
      <x/>
    </i>
    <i>
      <x v="1"/>
    </i>
    <i t="grand">
      <x/>
    </i>
  </rowItems>
  <colItems count="1">
    <i/>
  </colItems>
  <dataFields count="1">
    <dataField name="Sum of TOTAL" fld="14" baseField="0" baseItem="0"/>
  </dataField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5" count="1" selected="0">
            <x v="0"/>
          </reference>
        </references>
      </pivotArea>
    </chartFormat>
    <chartFormat chart="2" format="6">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A2ADE9-24BE-49B0-B299-57393EF9F11E}"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W4:X7" firstHeaderRow="1" firstDataRow="1" firstDataCol="1"/>
  <pivotFields count="19">
    <pivotField showAll="0">
      <items count="3">
        <item x="0"/>
        <item x="1"/>
        <item t="default"/>
      </items>
    </pivotField>
    <pivotField axis="axisRow" showAll="0">
      <items count="3">
        <item x="1"/>
        <item x="0"/>
        <item t="default"/>
      </items>
    </pivotField>
    <pivotField showAll="0"/>
    <pivotField numFmtId="14" showAll="0">
      <items count="37">
        <item x="0"/>
        <item x="3"/>
        <item x="6"/>
        <item x="9"/>
        <item x="12"/>
        <item x="15"/>
        <item x="18"/>
        <item x="21"/>
        <item x="24"/>
        <item x="1"/>
        <item x="4"/>
        <item x="7"/>
        <item x="10"/>
        <item x="13"/>
        <item x="16"/>
        <item x="19"/>
        <item x="22"/>
        <item x="25"/>
        <item x="2"/>
        <item x="5"/>
        <item x="8"/>
        <item x="11"/>
        <item x="14"/>
        <item x="17"/>
        <item x="20"/>
        <item x="23"/>
        <item x="26"/>
        <item x="27"/>
        <item x="30"/>
        <item x="33"/>
        <item x="28"/>
        <item x="31"/>
        <item x="34"/>
        <item x="29"/>
        <item x="32"/>
        <item x="35"/>
        <item t="default"/>
      </items>
    </pivotField>
    <pivotField numFmtId="10" showAll="0"/>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
  </rowFields>
  <rowItems count="3">
    <i>
      <x/>
    </i>
    <i>
      <x v="1"/>
    </i>
    <i t="grand">
      <x/>
    </i>
  </rowItems>
  <colItems count="1">
    <i/>
  </colItems>
  <dataFields count="1">
    <dataField name="Sum of TOTAL" fld="14" baseField="0" baseItem="0" numFmtId="4"/>
  </dataFields>
  <formats count="5">
    <format dxfId="0">
      <pivotArea type="all" dataOnly="0" outline="0" fieldPosition="0"/>
    </format>
    <format dxfId="1">
      <pivotArea outline="0" collapsedLevelsAreSubtotals="1" fieldPosition="0"/>
    </format>
    <format dxfId="2">
      <pivotArea field="0" type="button" dataOnly="0" labelOnly="1" outline="0"/>
    </format>
    <format dxfId="3">
      <pivotArea dataOnly="0" labelOnly="1" grandRow="1" outline="0" fieldPosition="0"/>
    </format>
    <format dxfId="4">
      <pivotArea dataOnly="0" labelOnly="1" outline="0" axis="axisValues" fieldPosition="0"/>
    </format>
  </formats>
  <chartFormats count="2">
    <chartFormat chart="32"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26DB1A-6453-43E4-A938-8D459E5C6600}"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R4:S7" firstHeaderRow="1" firstDataRow="1" firstDataCol="1"/>
  <pivotFields count="19">
    <pivotField showAll="0">
      <items count="3">
        <item x="0"/>
        <item x="1"/>
        <item t="default"/>
      </items>
    </pivotField>
    <pivotField showAll="0"/>
    <pivotField showAll="0"/>
    <pivotField numFmtId="14" showAll="0">
      <items count="37">
        <item x="0"/>
        <item x="3"/>
        <item x="6"/>
        <item x="9"/>
        <item x="12"/>
        <item x="15"/>
        <item x="18"/>
        <item x="21"/>
        <item x="24"/>
        <item x="1"/>
        <item x="4"/>
        <item x="7"/>
        <item x="10"/>
        <item x="13"/>
        <item x="16"/>
        <item x="19"/>
        <item x="22"/>
        <item x="25"/>
        <item x="2"/>
        <item x="5"/>
        <item x="8"/>
        <item x="11"/>
        <item x="14"/>
        <item x="17"/>
        <item x="20"/>
        <item x="23"/>
        <item x="26"/>
        <item x="27"/>
        <item x="30"/>
        <item x="33"/>
        <item x="28"/>
        <item x="31"/>
        <item x="34"/>
        <item x="29"/>
        <item x="32"/>
        <item x="35"/>
        <item t="default"/>
      </items>
    </pivotField>
    <pivotField dataField="1"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numFmtId="4" showAll="0"/>
    <pivotField numFmtId="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sd="0" x="1"/>
        <item sd="0" x="2"/>
        <item sd="0" x="3"/>
        <item t="default"/>
      </items>
    </pivotField>
  </pivotFields>
  <rowFields count="1">
    <field x="18"/>
  </rowFields>
  <rowItems count="3">
    <i>
      <x v="1"/>
    </i>
    <i>
      <x v="2"/>
    </i>
    <i t="grand">
      <x/>
    </i>
  </rowItems>
  <colItems count="1">
    <i/>
  </colItems>
  <dataFields count="1">
    <dataField name="Sum of Tax Rate" fld="4" baseField="0" baseItem="0" numFmtId="10"/>
  </dataFields>
  <formats count="5">
    <format dxfId="5">
      <pivotArea type="all" dataOnly="0" outline="0" fieldPosition="0"/>
    </format>
    <format dxfId="6">
      <pivotArea outline="0" collapsedLevelsAreSubtotals="1" fieldPosition="0"/>
    </format>
    <format dxfId="7">
      <pivotArea field="0" type="button" dataOnly="0" labelOnly="1" outline="0"/>
    </format>
    <format dxfId="8">
      <pivotArea dataOnly="0" labelOnly="1" grandRow="1" outline="0" fieldPosition="0"/>
    </format>
    <format dxfId="9">
      <pivotArea dataOnly="0" labelOnly="1" outline="0" axis="axisValues" fieldPosition="0"/>
    </format>
  </formats>
  <chartFormats count="2">
    <chartFormat chart="28"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3E7BDE-D06A-472F-8876-F5FFE8AB490D}" name="PivotTable3"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L4:M7" firstHeaderRow="1" firstDataRow="1" firstDataCol="1"/>
  <pivotFields count="19">
    <pivotField showAll="0">
      <items count="3">
        <item x="0"/>
        <item x="1"/>
        <item t="default"/>
      </items>
    </pivotField>
    <pivotField showAll="0">
      <items count="3">
        <item x="1"/>
        <item x="0"/>
        <item t="default"/>
      </items>
    </pivotField>
    <pivotField showAll="0"/>
    <pivotField numFmtId="14" showAll="0">
      <items count="37">
        <item x="0"/>
        <item x="3"/>
        <item x="6"/>
        <item x="9"/>
        <item x="12"/>
        <item x="15"/>
        <item x="18"/>
        <item x="21"/>
        <item x="24"/>
        <item x="1"/>
        <item x="4"/>
        <item x="7"/>
        <item x="10"/>
        <item x="13"/>
        <item x="16"/>
        <item x="19"/>
        <item x="22"/>
        <item x="25"/>
        <item x="2"/>
        <item x="5"/>
        <item x="8"/>
        <item x="11"/>
        <item x="14"/>
        <item x="17"/>
        <item x="20"/>
        <item x="23"/>
        <item x="26"/>
        <item x="27"/>
        <item x="30"/>
        <item x="33"/>
        <item x="28"/>
        <item x="31"/>
        <item x="34"/>
        <item x="29"/>
        <item x="32"/>
        <item x="35"/>
        <item t="default"/>
      </items>
    </pivotField>
    <pivotField numFmtId="10" showAll="0">
      <items count="8">
        <item x="3"/>
        <item x="6"/>
        <item x="2"/>
        <item x="5"/>
        <item x="1"/>
        <item x="0"/>
        <item x="4"/>
        <item t="default"/>
      </items>
    </pivotField>
    <pivotField axis="axisRow"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3">
    <i>
      <x/>
    </i>
    <i>
      <x v="1"/>
    </i>
    <i t="grand">
      <x/>
    </i>
  </rowItems>
  <colItems count="1">
    <i/>
  </colItems>
  <dataFields count="1">
    <dataField name="Sum of TOTAL" fld="14" baseField="0" baseItem="0" numFmtId="4"/>
  </dataFields>
  <formats count="5">
    <format dxfId="10">
      <pivotArea type="all" dataOnly="0" outline="0" fieldPosition="0"/>
    </format>
    <format dxfId="11">
      <pivotArea outline="0" collapsedLevelsAreSubtotals="1" fieldPosition="0"/>
    </format>
    <format dxfId="12">
      <pivotArea field="0" type="button" dataOnly="0" labelOnly="1" outline="0"/>
    </format>
    <format dxfId="13">
      <pivotArea dataOnly="0" labelOnly="1" grandRow="1" outline="0" fieldPosition="0"/>
    </format>
    <format dxfId="14">
      <pivotArea dataOnly="0" labelOnly="1" outline="0" axis="axisValues" fieldPosition="0"/>
    </format>
  </formats>
  <chartFormats count="4">
    <chartFormat chart="23" format="0"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 chart="27" format="5">
      <pivotArea type="data" outline="0" fieldPosition="0">
        <references count="2">
          <reference field="4294967294" count="1" selected="0">
            <x v="0"/>
          </reference>
          <reference field="5" count="1" selected="0">
            <x v="0"/>
          </reference>
        </references>
      </pivotArea>
    </chartFormat>
    <chartFormat chart="27" format="6">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CDA3DF-2AE5-4B27-BC4B-85241B6151AC}"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E3:F8" firstHeaderRow="1" firstDataRow="1" firstDataCol="1"/>
  <pivotFields count="19">
    <pivotField showAll="0">
      <items count="3">
        <item x="0"/>
        <item x="1"/>
        <item t="default"/>
      </items>
    </pivotField>
    <pivotField showAll="0">
      <items count="3">
        <item x="1"/>
        <item x="0"/>
        <item t="default"/>
      </items>
    </pivotField>
    <pivotField showAll="0"/>
    <pivotField numFmtId="14" showAll="0">
      <items count="37">
        <item x="0"/>
        <item x="3"/>
        <item x="6"/>
        <item x="9"/>
        <item x="12"/>
        <item x="15"/>
        <item x="18"/>
        <item x="21"/>
        <item x="24"/>
        <item x="1"/>
        <item x="4"/>
        <item x="7"/>
        <item x="10"/>
        <item x="13"/>
        <item x="16"/>
        <item x="19"/>
        <item x="22"/>
        <item x="25"/>
        <item x="2"/>
        <item x="5"/>
        <item x="8"/>
        <item x="11"/>
        <item x="14"/>
        <item x="17"/>
        <item x="20"/>
        <item x="23"/>
        <item x="26"/>
        <item x="27"/>
        <item x="30"/>
        <item x="33"/>
        <item x="28"/>
        <item x="31"/>
        <item x="34"/>
        <item x="29"/>
        <item x="32"/>
        <item x="35"/>
        <item t="default"/>
      </items>
    </pivotField>
    <pivotField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6"/>
  </rowFields>
  <rowItems count="5">
    <i>
      <x v="4"/>
    </i>
    <i>
      <x v="5"/>
    </i>
    <i>
      <x v="6"/>
    </i>
    <i>
      <x v="7"/>
    </i>
    <i t="grand">
      <x/>
    </i>
  </rowItems>
  <colItems count="1">
    <i/>
  </colItems>
  <dataFields count="1">
    <dataField name="Sum of MONTH WISE" fld="14" baseField="16" baseItem="4" numFmtId="4"/>
  </dataFields>
  <formats count="5">
    <format dxfId="15">
      <pivotArea type="all" dataOnly="0" outline="0" fieldPosition="0"/>
    </format>
    <format dxfId="16">
      <pivotArea outline="0" collapsedLevelsAreSubtotals="1" fieldPosition="0"/>
    </format>
    <format dxfId="17">
      <pivotArea field="0" type="button" dataOnly="0" labelOnly="1" outline="0"/>
    </format>
    <format dxfId="18">
      <pivotArea dataOnly="0" labelOnly="1" grandRow="1" outline="0" fieldPosition="0"/>
    </format>
    <format dxfId="19">
      <pivotArea dataOnly="0" labelOnly="1" outline="0" axis="axisValues" fieldPosition="0"/>
    </format>
  </formats>
  <chartFormats count="6">
    <chartFormat chart="9" format="9"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8153E86-A99F-44BA-A975-8C901360136D}"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6" firstHeaderRow="1" firstDataRow="1" firstDataCol="1"/>
  <pivotFields count="19">
    <pivotField axis="axisRow" showAll="0">
      <items count="3">
        <item x="0"/>
        <item x="1"/>
        <item t="default"/>
      </items>
    </pivotField>
    <pivotField showAll="0">
      <items count="3">
        <item x="1"/>
        <item x="0"/>
        <item t="default"/>
      </items>
    </pivotField>
    <pivotField showAll="0"/>
    <pivotField numFmtId="14" showAll="0">
      <items count="37">
        <item x="0"/>
        <item x="3"/>
        <item x="6"/>
        <item x="9"/>
        <item x="12"/>
        <item x="15"/>
        <item x="18"/>
        <item x="21"/>
        <item x="24"/>
        <item x="1"/>
        <item x="4"/>
        <item x="7"/>
        <item x="10"/>
        <item x="13"/>
        <item x="16"/>
        <item x="19"/>
        <item x="22"/>
        <item x="25"/>
        <item x="2"/>
        <item x="5"/>
        <item x="8"/>
        <item x="11"/>
        <item x="14"/>
        <item x="17"/>
        <item x="20"/>
        <item x="23"/>
        <item x="26"/>
        <item x="27"/>
        <item x="30"/>
        <item x="33"/>
        <item x="28"/>
        <item x="31"/>
        <item x="34"/>
        <item x="29"/>
        <item x="32"/>
        <item x="35"/>
        <item t="default"/>
      </items>
    </pivotField>
    <pivotField numFmtId="10" showAll="0">
      <items count="8">
        <item x="3"/>
        <item x="6"/>
        <item x="2"/>
        <item x="5"/>
        <item x="1"/>
        <item x="0"/>
        <item x="4"/>
        <item t="default"/>
      </items>
    </pivotField>
    <pivotField showAll="0">
      <items count="3">
        <item x="1"/>
        <item x="0"/>
        <item t="default"/>
      </items>
    </pivotField>
    <pivotField showAll="0"/>
    <pivotField showAll="0"/>
    <pivotField numFmtId="4" showAll="0"/>
    <pivotField numFmtId="4" showAll="0"/>
    <pivotField numFmtId="4" showAll="0"/>
    <pivotField numFmtId="4" showAll="0"/>
    <pivotField numFmtId="4" showAll="0"/>
    <pivotField showAll="0"/>
    <pivotField dataField="1" numFmtId="4" showAll="0"/>
    <pivotField numFmtId="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0"/>
  </rowFields>
  <rowItems count="3">
    <i>
      <x/>
    </i>
    <i>
      <x v="1"/>
    </i>
    <i t="grand">
      <x/>
    </i>
  </rowItems>
  <colItems count="1">
    <i/>
  </colItems>
  <dataFields count="1">
    <dataField name="Sum of  FIRM WISE" fld="14" baseField="0" baseItem="0" numFmtId="4"/>
  </dataFields>
  <formats count="5">
    <format dxfId="33">
      <pivotArea type="all" dataOnly="0" outline="0" fieldPosition="0"/>
    </format>
    <format dxfId="34">
      <pivotArea outline="0" collapsedLevelsAreSubtotals="1" fieldPosition="0"/>
    </format>
    <format dxfId="35">
      <pivotArea field="0" type="button" dataOnly="0" labelOnly="1" outline="0" axis="axisRow" fieldPosition="0"/>
    </format>
    <format dxfId="36">
      <pivotArea dataOnly="0" labelOnly="1" grandRow="1" outline="0" fieldPosition="0"/>
    </format>
    <format dxfId="37">
      <pivotArea dataOnly="0" labelOnly="1" outline="0" axis="axisValues" fieldPosition="0"/>
    </format>
  </formats>
  <chartFormats count="3">
    <chartFormat chart="15" format="4" series="1">
      <pivotArea type="data" outline="0" fieldPosition="0">
        <references count="1">
          <reference field="4294967294" count="1" selected="0">
            <x v="0"/>
          </reference>
        </references>
      </pivotArea>
    </chartFormat>
    <chartFormat chart="15" format="5">
      <pivotArea type="data" outline="0" fieldPosition="0">
        <references count="2">
          <reference field="4294967294" count="1" selected="0">
            <x v="0"/>
          </reference>
          <reference field="0" count="1" selected="0">
            <x v="0"/>
          </reference>
        </references>
      </pivotArea>
    </chartFormat>
    <chartFormat chart="15"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_of_Goods" xr10:uid="{35C6B309-F7C0-44D6-9DE5-D996E85693C3}" sourceName="Description of Goods">
  <pivotTables>
    <pivotTable tabId="8" name="PivotTable3"/>
    <pivotTable tabId="8" name="PivotTable1"/>
    <pivotTable tabId="8" name="PivotTable2"/>
  </pivotTables>
  <data>
    <tabular pivotCacheId="39701259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rm_Name" xr10:uid="{6D074827-25F6-4719-8330-5B6F84F3E928}" sourceName="Firm Name ">
  <pivotTables>
    <pivotTable tabId="8" name="PivotTable3"/>
    <pivotTable tabId="8" name="PivotTable1"/>
    <pivotTable tabId="8" name="PivotTable2"/>
  </pivotTables>
  <data>
    <tabular pivotCacheId="39701259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_of_Goods1" xr10:uid="{C0092901-0C0D-489C-8067-D82171B7E5E6}" sourceName="Description of Goods">
  <pivotTables>
    <pivotTable tabId="8" name="PivotTable4"/>
  </pivotTables>
  <data>
    <tabular pivotCacheId="39701259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x_Rate" xr10:uid="{E0DF4BE2-7FA6-47EA-B637-9F2C3DD030CC}" sourceName="Tax Rate">
  <pivotTables>
    <pivotTable tabId="8" name="PivotTable4"/>
    <pivotTable tabId="8" name="PivotTable1"/>
    <pivotTable tabId="8" name="PivotTable2"/>
    <pivotTable tabId="8" name="PivotTable3"/>
  </pivotTables>
  <data>
    <tabular pivotCacheId="397012591">
      <items count="7">
        <i x="3" s="1"/>
        <i x="6" s="1"/>
        <i x="2" s="1"/>
        <i x="5" s="1"/>
        <i x="1" s="1"/>
        <i x="0"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A8E2958A-15CB-4CC8-B8A6-B70EB0746AD6}" sourceName="State">
  <pivotTables>
    <pivotTable tabId="8" name="PivotTable5"/>
    <pivotTable tabId="8" name="PivotTable1"/>
    <pivotTable tabId="8" name="PivotTable2"/>
    <pivotTable tabId="8" name="PivotTable3"/>
  </pivotTables>
  <data>
    <tabular pivotCacheId="397012591">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1FD4DD6B-81A9-421D-A896-3677D442FE7F}" sourceName="Months (Date)">
  <pivotTables>
    <pivotTable tabId="8" name="PivotTable2"/>
    <pivotTable tabId="8" name="PivotTable1"/>
    <pivotTable tabId="8" name="PivotTable3"/>
  </pivotTables>
  <data>
    <tabular pivotCacheId="397012591">
      <items count="14">
        <i x="4" s="1"/>
        <i x="5" s="1"/>
        <i x="6" s="1"/>
        <i x="7" s="1"/>
        <i x="1" s="1" nd="1"/>
        <i x="2" s="1" nd="1"/>
        <i x="3"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rm Name  1" xr10:uid="{63F94282-2EFA-4612-BF26-AE0826CF38AE}" cache="Slicer_Firm_Name" caption="Firm Name " rowHeight="234950"/>
  <slicer name="Description of Goods 1" xr10:uid="{628ADAF0-29D9-4CA8-B108-7E7555CAE849}" cache="Slicer_Description_of_Goods1" caption="Description of Good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cription of Goods" xr10:uid="{18CDFBB8-F155-4489-9A34-2FBFC946B9F6}" cache="Slicer_Description_of_Goods" caption="Description of Goods" rowHeight="234950"/>
  <slicer name="Firm Name " xr10:uid="{D8B0D6CA-C610-4996-8EF9-FDF499D890D5}" cache="Slicer_Firm_Name" caption="Firm Name " rowHeight="234950"/>
  <slicer name="Tax Rate" xr10:uid="{9F646B66-AE26-4288-B317-8A2A0F0A1ACD}" cache="Slicer_Tax_Rate" caption="Tax Rate" rowHeight="234950"/>
  <slicer name="State" xr10:uid="{5747BA73-FCA7-4A1C-8081-2AB7A7C1AEAA}" cache="Slicer_State" caption="State" rowHeight="234950"/>
  <slicer name="Months (Date)" xr10:uid="{28DD21B7-06E8-4D04-8511-03CBB8F3065C}" cache="Slicer_Months__Date" caption="Months (D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6"/>
  <sheetViews>
    <sheetView workbookViewId="0">
      <selection activeCell="H10" sqref="H10"/>
    </sheetView>
  </sheetViews>
  <sheetFormatPr defaultRowHeight="14.4" x14ac:dyDescent="0.3"/>
  <cols>
    <col min="1" max="1" width="12.5546875" bestFit="1" customWidth="1"/>
    <col min="2" max="2" width="12.88671875" bestFit="1" customWidth="1"/>
  </cols>
  <sheetData>
    <row r="3" spans="1:2" x14ac:dyDescent="0.3">
      <c r="A3" s="1" t="s">
        <v>24</v>
      </c>
      <c r="B3" t="s">
        <v>26</v>
      </c>
    </row>
    <row r="4" spans="1:2" x14ac:dyDescent="0.3">
      <c r="A4" s="2" t="s">
        <v>16</v>
      </c>
      <c r="B4">
        <v>410376.47000000003</v>
      </c>
    </row>
    <row r="5" spans="1:2" x14ac:dyDescent="0.3">
      <c r="A5" s="2" t="s">
        <v>22</v>
      </c>
      <c r="B5">
        <v>459587.38999999996</v>
      </c>
    </row>
    <row r="6" spans="1:2" x14ac:dyDescent="0.3">
      <c r="A6" s="2" t="s">
        <v>25</v>
      </c>
      <c r="B6">
        <v>869963.86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8"/>
  <sheetViews>
    <sheetView workbookViewId="0">
      <selection activeCell="M9" sqref="M9"/>
    </sheetView>
  </sheetViews>
  <sheetFormatPr defaultRowHeight="14.4" x14ac:dyDescent="0.3"/>
  <cols>
    <col min="1" max="1" width="12.5546875" bestFit="1" customWidth="1"/>
    <col min="2" max="2" width="12.88671875" bestFit="1" customWidth="1"/>
  </cols>
  <sheetData>
    <row r="3" spans="1:2" x14ac:dyDescent="0.3">
      <c r="A3" s="1" t="s">
        <v>24</v>
      </c>
      <c r="B3" t="s">
        <v>26</v>
      </c>
    </row>
    <row r="4" spans="1:2" x14ac:dyDescent="0.3">
      <c r="A4" s="3" t="s">
        <v>27</v>
      </c>
      <c r="B4">
        <v>21004</v>
      </c>
    </row>
    <row r="5" spans="1:2" x14ac:dyDescent="0.3">
      <c r="A5" s="3" t="s">
        <v>28</v>
      </c>
      <c r="B5">
        <v>229752.43999999997</v>
      </c>
    </row>
    <row r="6" spans="1:2" x14ac:dyDescent="0.3">
      <c r="A6" s="3" t="s">
        <v>29</v>
      </c>
      <c r="B6">
        <v>389805.09</v>
      </c>
    </row>
    <row r="7" spans="1:2" x14ac:dyDescent="0.3">
      <c r="A7" s="3" t="s">
        <v>30</v>
      </c>
      <c r="B7">
        <v>229402.33</v>
      </c>
    </row>
    <row r="8" spans="1:2" x14ac:dyDescent="0.3">
      <c r="A8" s="3" t="s">
        <v>25</v>
      </c>
      <c r="B8">
        <v>869963.86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F11"/>
  <sheetViews>
    <sheetView workbookViewId="0">
      <selection activeCell="H25" sqref="H25"/>
    </sheetView>
  </sheetViews>
  <sheetFormatPr defaultRowHeight="14.4" x14ac:dyDescent="0.3"/>
  <cols>
    <col min="1" max="1" width="12.5546875" bestFit="1" customWidth="1"/>
    <col min="2" max="2" width="11.21875" bestFit="1" customWidth="1"/>
    <col min="3" max="3" width="11.77734375" bestFit="1" customWidth="1"/>
    <col min="4" max="4" width="11.6640625" bestFit="1" customWidth="1"/>
    <col min="5" max="6" width="12.88671875" bestFit="1" customWidth="1"/>
  </cols>
  <sheetData>
    <row r="3" spans="1:6" x14ac:dyDescent="0.3">
      <c r="A3" s="1" t="s">
        <v>24</v>
      </c>
      <c r="B3" t="s">
        <v>31</v>
      </c>
      <c r="C3" t="s">
        <v>32</v>
      </c>
      <c r="D3" t="s">
        <v>33</v>
      </c>
      <c r="E3" t="s">
        <v>34</v>
      </c>
      <c r="F3" t="s">
        <v>26</v>
      </c>
    </row>
    <row r="4" spans="1:6" x14ac:dyDescent="0.3">
      <c r="A4" s="4">
        <v>0</v>
      </c>
      <c r="B4">
        <v>0</v>
      </c>
      <c r="C4">
        <v>0</v>
      </c>
      <c r="D4">
        <v>0</v>
      </c>
      <c r="F4">
        <v>84740</v>
      </c>
    </row>
    <row r="5" spans="1:6" x14ac:dyDescent="0.3">
      <c r="A5" s="4">
        <v>1E-3</v>
      </c>
      <c r="B5">
        <v>0</v>
      </c>
      <c r="C5">
        <v>46.83</v>
      </c>
      <c r="D5">
        <v>46.83</v>
      </c>
      <c r="F5">
        <v>93753.659999999989</v>
      </c>
    </row>
    <row r="6" spans="1:6" x14ac:dyDescent="0.3">
      <c r="A6" s="4">
        <v>0.03</v>
      </c>
      <c r="B6">
        <v>1505.25</v>
      </c>
      <c r="C6">
        <v>1087.125</v>
      </c>
      <c r="D6">
        <v>1087.125</v>
      </c>
      <c r="F6">
        <v>126329.5</v>
      </c>
    </row>
    <row r="7" spans="1:6" x14ac:dyDescent="0.3">
      <c r="A7" s="4">
        <v>0.05</v>
      </c>
      <c r="B7">
        <v>1393.75</v>
      </c>
      <c r="C7">
        <v>2871.125</v>
      </c>
      <c r="D7">
        <v>2871.125</v>
      </c>
      <c r="F7">
        <v>149856</v>
      </c>
    </row>
    <row r="8" spans="1:6" x14ac:dyDescent="0.3">
      <c r="A8" s="4">
        <v>0.12</v>
      </c>
      <c r="B8">
        <v>0</v>
      </c>
      <c r="C8">
        <v>7559.4</v>
      </c>
      <c r="D8">
        <v>7559.4</v>
      </c>
      <c r="F8">
        <v>141108.79999999999</v>
      </c>
    </row>
    <row r="9" spans="1:6" x14ac:dyDescent="0.3">
      <c r="A9" s="4">
        <v>0.18</v>
      </c>
      <c r="B9">
        <v>8429.4</v>
      </c>
      <c r="C9">
        <v>3307.95</v>
      </c>
      <c r="D9">
        <v>3307.95</v>
      </c>
      <c r="F9">
        <v>98630.3</v>
      </c>
    </row>
    <row r="10" spans="1:6" x14ac:dyDescent="0.3">
      <c r="A10" s="4">
        <v>0.28000000000000003</v>
      </c>
      <c r="B10">
        <v>0</v>
      </c>
      <c r="C10">
        <v>19200.300000000003</v>
      </c>
      <c r="D10">
        <v>19200.300000000003</v>
      </c>
      <c r="F10">
        <v>175545.59999999998</v>
      </c>
    </row>
    <row r="11" spans="1:6" x14ac:dyDescent="0.3">
      <c r="A11" s="4" t="s">
        <v>25</v>
      </c>
      <c r="B11">
        <v>11328.4</v>
      </c>
      <c r="C11">
        <v>34072.730000000003</v>
      </c>
      <c r="D11">
        <v>34072.730000000003</v>
      </c>
      <c r="F11">
        <v>869963.8600000001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B6"/>
  <sheetViews>
    <sheetView workbookViewId="0">
      <selection activeCell="J9" sqref="J9"/>
    </sheetView>
  </sheetViews>
  <sheetFormatPr defaultRowHeight="14.4" x14ac:dyDescent="0.3"/>
  <cols>
    <col min="1" max="1" width="12.5546875" bestFit="1" customWidth="1"/>
    <col min="2" max="2" width="12.88671875" bestFit="1" customWidth="1"/>
  </cols>
  <sheetData>
    <row r="3" spans="1:2" x14ac:dyDescent="0.3">
      <c r="A3" s="1" t="s">
        <v>24</v>
      </c>
      <c r="B3" t="s">
        <v>26</v>
      </c>
    </row>
    <row r="4" spans="1:2" x14ac:dyDescent="0.3">
      <c r="A4" s="2" t="s">
        <v>20</v>
      </c>
      <c r="B4">
        <v>427057.24</v>
      </c>
    </row>
    <row r="5" spans="1:2" x14ac:dyDescent="0.3">
      <c r="A5" s="2" t="s">
        <v>18</v>
      </c>
      <c r="B5">
        <v>442906.61999999994</v>
      </c>
    </row>
    <row r="6" spans="1:2" x14ac:dyDescent="0.3">
      <c r="A6" s="2" t="s">
        <v>25</v>
      </c>
      <c r="B6">
        <v>869963.85999999987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339CB-81E1-471E-A7CA-A18DE682D8D9}">
  <dimension ref="A3:X40"/>
  <sheetViews>
    <sheetView tabSelected="1" topLeftCell="C1" workbookViewId="0">
      <selection activeCell="E3" sqref="E3"/>
    </sheetView>
  </sheetViews>
  <sheetFormatPr defaultRowHeight="14.4" x14ac:dyDescent="0.3"/>
  <cols>
    <col min="1" max="1" width="15.109375" bestFit="1" customWidth="1"/>
    <col min="2" max="2" width="21.33203125" bestFit="1" customWidth="1"/>
    <col min="5" max="5" width="15.109375" bestFit="1" customWidth="1"/>
    <col min="6" max="6" width="23.77734375" bestFit="1" customWidth="1"/>
    <col min="12" max="12" width="15.77734375" bestFit="1" customWidth="1"/>
    <col min="13" max="13" width="15.88671875" bestFit="1" customWidth="1"/>
    <col min="18" max="18" width="15.109375" bestFit="1" customWidth="1"/>
    <col min="19" max="19" width="18.21875" bestFit="1" customWidth="1"/>
    <col min="23" max="23" width="15.109375" bestFit="1" customWidth="1"/>
    <col min="24" max="24" width="15.88671875" bestFit="1" customWidth="1"/>
  </cols>
  <sheetData>
    <row r="3" spans="1:24" ht="18" x14ac:dyDescent="0.35">
      <c r="A3" s="36" t="s">
        <v>24</v>
      </c>
      <c r="B3" s="37" t="s">
        <v>44</v>
      </c>
      <c r="E3" s="36" t="s">
        <v>24</v>
      </c>
      <c r="F3" s="37" t="s">
        <v>45</v>
      </c>
    </row>
    <row r="4" spans="1:24" ht="18" x14ac:dyDescent="0.35">
      <c r="A4" s="38" t="s">
        <v>16</v>
      </c>
      <c r="B4" s="39">
        <v>410376.47000000003</v>
      </c>
      <c r="E4" s="38" t="s">
        <v>27</v>
      </c>
      <c r="F4" s="39">
        <v>21004</v>
      </c>
      <c r="L4" s="36" t="s">
        <v>24</v>
      </c>
      <c r="M4" s="37" t="s">
        <v>26</v>
      </c>
      <c r="R4" s="36" t="s">
        <v>24</v>
      </c>
      <c r="S4" s="37" t="s">
        <v>43</v>
      </c>
      <c r="W4" s="36" t="s">
        <v>24</v>
      </c>
      <c r="X4" s="37" t="s">
        <v>26</v>
      </c>
    </row>
    <row r="5" spans="1:24" ht="18" x14ac:dyDescent="0.35">
      <c r="A5" s="38" t="s">
        <v>22</v>
      </c>
      <c r="B5" s="39">
        <v>459587.38999999996</v>
      </c>
      <c r="E5" s="38" t="s">
        <v>28</v>
      </c>
      <c r="F5" s="39">
        <v>229752.43999999997</v>
      </c>
      <c r="L5" s="38" t="s">
        <v>20</v>
      </c>
      <c r="M5" s="39">
        <v>427057.24</v>
      </c>
      <c r="R5" s="38" t="s">
        <v>41</v>
      </c>
      <c r="S5" s="43">
        <v>2.5330000000000004</v>
      </c>
      <c r="W5" s="38" t="s">
        <v>21</v>
      </c>
      <c r="X5" s="39">
        <v>139553.4</v>
      </c>
    </row>
    <row r="6" spans="1:24" ht="18" x14ac:dyDescent="0.35">
      <c r="A6" s="38" t="s">
        <v>25</v>
      </c>
      <c r="B6" s="39">
        <v>869963.86</v>
      </c>
      <c r="E6" s="38" t="s">
        <v>29</v>
      </c>
      <c r="F6" s="39">
        <v>389805.09</v>
      </c>
      <c r="L6" s="38" t="s">
        <v>18</v>
      </c>
      <c r="M6" s="39">
        <v>442906.61999999994</v>
      </c>
      <c r="R6" s="38" t="s">
        <v>42</v>
      </c>
      <c r="S6" s="43">
        <v>0.77100000000000002</v>
      </c>
      <c r="W6" s="38" t="s">
        <v>17</v>
      </c>
      <c r="X6" s="39">
        <v>730410.46</v>
      </c>
    </row>
    <row r="7" spans="1:24" ht="18" x14ac:dyDescent="0.35">
      <c r="E7" s="38" t="s">
        <v>30</v>
      </c>
      <c r="F7" s="39">
        <v>229402.33</v>
      </c>
      <c r="L7" s="38" t="s">
        <v>25</v>
      </c>
      <c r="M7" s="39">
        <v>869963.85999999987</v>
      </c>
      <c r="R7" s="38" t="s">
        <v>25</v>
      </c>
      <c r="S7" s="43">
        <v>3.3040000000000003</v>
      </c>
      <c r="W7" s="38" t="s">
        <v>25</v>
      </c>
      <c r="X7" s="39">
        <v>869963.86</v>
      </c>
    </row>
    <row r="8" spans="1:24" ht="18" x14ac:dyDescent="0.35">
      <c r="E8" s="38" t="s">
        <v>25</v>
      </c>
      <c r="F8" s="39">
        <v>869963.86</v>
      </c>
    </row>
    <row r="9" spans="1:24" ht="18" x14ac:dyDescent="0.35"/>
    <row r="10" spans="1:24" ht="18" x14ac:dyDescent="0.35"/>
    <row r="11" spans="1:24" ht="18" x14ac:dyDescent="0.35"/>
    <row r="12" spans="1:24" ht="18" x14ac:dyDescent="0.35"/>
    <row r="13" spans="1:24" ht="18" x14ac:dyDescent="0.35"/>
    <row r="14" spans="1:24" ht="18" x14ac:dyDescent="0.35"/>
    <row r="15" spans="1:24" ht="18" x14ac:dyDescent="0.35"/>
    <row r="16" spans="1:24" ht="18" x14ac:dyDescent="0.35"/>
    <row r="17" ht="18" x14ac:dyDescent="0.35"/>
    <row r="18" ht="18" x14ac:dyDescent="0.35"/>
    <row r="19" ht="18" x14ac:dyDescent="0.35"/>
    <row r="20" ht="18" x14ac:dyDescent="0.35"/>
    <row r="21" ht="18" x14ac:dyDescent="0.35"/>
    <row r="22" ht="18" x14ac:dyDescent="0.35"/>
    <row r="23" ht="18" x14ac:dyDescent="0.35"/>
    <row r="24" ht="18" x14ac:dyDescent="0.35"/>
    <row r="25" ht="18" x14ac:dyDescent="0.35"/>
    <row r="26" ht="18" x14ac:dyDescent="0.35"/>
    <row r="27" ht="18" x14ac:dyDescent="0.35"/>
    <row r="28" ht="18" x14ac:dyDescent="0.35"/>
    <row r="29" ht="18" x14ac:dyDescent="0.35"/>
    <row r="30" ht="18" x14ac:dyDescent="0.35"/>
    <row r="31" ht="18" x14ac:dyDescent="0.35"/>
    <row r="32" ht="18" x14ac:dyDescent="0.35"/>
    <row r="33" ht="18" x14ac:dyDescent="0.35"/>
    <row r="34" ht="18" x14ac:dyDescent="0.35"/>
    <row r="35" ht="18" x14ac:dyDescent="0.35"/>
    <row r="36" ht="18" x14ac:dyDescent="0.35"/>
    <row r="37" ht="18" x14ac:dyDescent="0.35"/>
    <row r="38" ht="18" x14ac:dyDescent="0.35"/>
    <row r="39" ht="18" x14ac:dyDescent="0.35"/>
    <row r="40" ht="18" x14ac:dyDescent="0.35"/>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P37"/>
  <sheetViews>
    <sheetView zoomScale="85" zoomScaleNormal="85" workbookViewId="0"/>
  </sheetViews>
  <sheetFormatPr defaultRowHeight="14.4" x14ac:dyDescent="0.3"/>
  <cols>
    <col min="1" max="1" width="16.33203125" customWidth="1"/>
    <col min="2" max="2" width="12.88671875" bestFit="1" customWidth="1"/>
    <col min="3" max="3" width="16.109375" customWidth="1"/>
    <col min="4" max="4" width="13.88671875" customWidth="1"/>
    <col min="5" max="5" width="13" customWidth="1"/>
    <col min="6" max="6" width="27.33203125" customWidth="1"/>
    <col min="7" max="7" width="8.44140625" customWidth="1"/>
    <col min="8" max="8" width="8.5546875" customWidth="1"/>
    <col min="9" max="9" width="9.21875" bestFit="1" customWidth="1"/>
    <col min="10" max="10" width="16.6640625" bestFit="1" customWidth="1"/>
    <col min="11" max="13" width="9.21875" bestFit="1" customWidth="1"/>
    <col min="14" max="14" width="6.21875" bestFit="1" customWidth="1"/>
    <col min="15" max="15" width="10.44140625" bestFit="1" customWidth="1"/>
    <col min="16" max="16" width="18.44140625" bestFit="1" customWidth="1"/>
  </cols>
  <sheetData>
    <row r="1" spans="1:16" ht="18" x14ac:dyDescent="0.3">
      <c r="A1" s="5" t="s">
        <v>0</v>
      </c>
      <c r="B1" s="5" t="s">
        <v>1</v>
      </c>
      <c r="C1" s="5" t="s">
        <v>2</v>
      </c>
      <c r="D1" s="5" t="s">
        <v>3</v>
      </c>
      <c r="E1" s="6" t="s">
        <v>4</v>
      </c>
      <c r="F1" s="6" t="s">
        <v>5</v>
      </c>
      <c r="G1" s="6" t="s">
        <v>6</v>
      </c>
      <c r="H1" s="6" t="s">
        <v>7</v>
      </c>
      <c r="I1" s="6" t="s">
        <v>8</v>
      </c>
      <c r="J1" s="7" t="s">
        <v>9</v>
      </c>
      <c r="K1" s="7" t="s">
        <v>10</v>
      </c>
      <c r="L1" s="7" t="s">
        <v>11</v>
      </c>
      <c r="M1" s="7" t="s">
        <v>12</v>
      </c>
      <c r="N1" s="7" t="s">
        <v>13</v>
      </c>
      <c r="O1" s="7" t="s">
        <v>14</v>
      </c>
      <c r="P1" s="8" t="s">
        <v>15</v>
      </c>
    </row>
    <row r="2" spans="1:16" ht="15.6" x14ac:dyDescent="0.3">
      <c r="A2" s="9" t="s">
        <v>16</v>
      </c>
      <c r="B2" s="9" t="s">
        <v>17</v>
      </c>
      <c r="C2" s="9">
        <v>23</v>
      </c>
      <c r="D2" s="10">
        <v>43922</v>
      </c>
      <c r="E2" s="11">
        <v>0.18</v>
      </c>
      <c r="F2" s="9" t="s">
        <v>18</v>
      </c>
      <c r="G2" s="9">
        <v>8</v>
      </c>
      <c r="H2" s="11" t="s">
        <v>19</v>
      </c>
      <c r="I2" s="12">
        <v>2225</v>
      </c>
      <c r="J2" s="13">
        <v>17800</v>
      </c>
      <c r="K2" s="14">
        <v>0</v>
      </c>
      <c r="L2" s="14">
        <v>1602</v>
      </c>
      <c r="M2" s="14">
        <v>1602</v>
      </c>
      <c r="N2" s="14"/>
      <c r="O2" s="14">
        <v>21004</v>
      </c>
      <c r="P2" s="15">
        <v>21004</v>
      </c>
    </row>
    <row r="3" spans="1:16" ht="15.6" x14ac:dyDescent="0.3">
      <c r="A3" s="16" t="s">
        <v>16</v>
      </c>
      <c r="B3" s="16" t="s">
        <v>17</v>
      </c>
      <c r="C3" s="16">
        <v>24</v>
      </c>
      <c r="D3" s="17">
        <v>43986</v>
      </c>
      <c r="E3" s="18">
        <v>0.12</v>
      </c>
      <c r="F3" s="16" t="s">
        <v>20</v>
      </c>
      <c r="G3" s="16">
        <v>2</v>
      </c>
      <c r="H3" s="18" t="s">
        <v>19</v>
      </c>
      <c r="I3" s="19">
        <v>1670</v>
      </c>
      <c r="J3" s="20">
        <v>3340</v>
      </c>
      <c r="K3" s="21">
        <v>0</v>
      </c>
      <c r="L3" s="21">
        <v>200.4</v>
      </c>
      <c r="M3" s="21">
        <v>200.4</v>
      </c>
      <c r="N3" s="21"/>
      <c r="O3" s="21">
        <v>3740.8</v>
      </c>
      <c r="P3" s="22">
        <v>3740.8</v>
      </c>
    </row>
    <row r="4" spans="1:16" ht="15.6" x14ac:dyDescent="0.3">
      <c r="A4" s="9" t="s">
        <v>16</v>
      </c>
      <c r="B4" s="9" t="s">
        <v>17</v>
      </c>
      <c r="C4" s="9">
        <v>25</v>
      </c>
      <c r="D4" s="10">
        <v>44016</v>
      </c>
      <c r="E4" s="11">
        <v>0.03</v>
      </c>
      <c r="F4" s="9" t="s">
        <v>18</v>
      </c>
      <c r="G4" s="9">
        <v>10</v>
      </c>
      <c r="H4" s="11" t="s">
        <v>19</v>
      </c>
      <c r="I4" s="12">
        <v>1115</v>
      </c>
      <c r="J4" s="13">
        <v>11150</v>
      </c>
      <c r="K4" s="14">
        <v>0</v>
      </c>
      <c r="L4" s="14">
        <v>167.25</v>
      </c>
      <c r="M4" s="14">
        <v>167.25</v>
      </c>
      <c r="N4" s="14"/>
      <c r="O4" s="14">
        <v>11484.5</v>
      </c>
      <c r="P4" s="15">
        <v>11484.5</v>
      </c>
    </row>
    <row r="5" spans="1:16" ht="15.6" x14ac:dyDescent="0.3">
      <c r="A5" s="16" t="s">
        <v>16</v>
      </c>
      <c r="B5" s="16" t="s">
        <v>21</v>
      </c>
      <c r="C5" s="16">
        <v>26</v>
      </c>
      <c r="D5" s="17">
        <v>43956</v>
      </c>
      <c r="E5" s="18">
        <v>0</v>
      </c>
      <c r="F5" s="16" t="s">
        <v>20</v>
      </c>
      <c r="G5" s="16">
        <v>3</v>
      </c>
      <c r="H5" s="18" t="s">
        <v>19</v>
      </c>
      <c r="I5" s="19">
        <v>1115</v>
      </c>
      <c r="J5" s="20">
        <v>3345</v>
      </c>
      <c r="K5" s="21">
        <v>0</v>
      </c>
      <c r="L5" s="21">
        <v>0</v>
      </c>
      <c r="M5" s="21">
        <v>0</v>
      </c>
      <c r="N5" s="21"/>
      <c r="O5" s="21">
        <v>3345</v>
      </c>
      <c r="P5" s="22">
        <v>3345</v>
      </c>
    </row>
    <row r="6" spans="1:16" ht="15.6" x14ac:dyDescent="0.3">
      <c r="A6" s="9" t="s">
        <v>16</v>
      </c>
      <c r="B6" s="9" t="s">
        <v>17</v>
      </c>
      <c r="C6" s="9">
        <v>27</v>
      </c>
      <c r="D6" s="10">
        <v>43987</v>
      </c>
      <c r="E6" s="11">
        <v>0.28000000000000003</v>
      </c>
      <c r="F6" s="9" t="s">
        <v>18</v>
      </c>
      <c r="G6" s="9">
        <v>4</v>
      </c>
      <c r="H6" s="11" t="s">
        <v>19</v>
      </c>
      <c r="I6" s="12">
        <v>1115</v>
      </c>
      <c r="J6" s="13">
        <v>4460</v>
      </c>
      <c r="K6" s="14">
        <v>0</v>
      </c>
      <c r="L6" s="14">
        <v>624.40000000000009</v>
      </c>
      <c r="M6" s="14">
        <v>624.40000000000009</v>
      </c>
      <c r="N6" s="14"/>
      <c r="O6" s="14">
        <v>5708.7999999999993</v>
      </c>
      <c r="P6" s="15">
        <v>5708.7999999999993</v>
      </c>
    </row>
    <row r="7" spans="1:16" ht="15.6" x14ac:dyDescent="0.3">
      <c r="A7" s="16" t="s">
        <v>16</v>
      </c>
      <c r="B7" s="16" t="s">
        <v>17</v>
      </c>
      <c r="C7" s="16">
        <v>28</v>
      </c>
      <c r="D7" s="17">
        <v>44017</v>
      </c>
      <c r="E7" s="18">
        <v>0.05</v>
      </c>
      <c r="F7" s="16" t="s">
        <v>20</v>
      </c>
      <c r="G7" s="16">
        <v>24</v>
      </c>
      <c r="H7" s="18" t="s">
        <v>19</v>
      </c>
      <c r="I7" s="19">
        <v>1115</v>
      </c>
      <c r="J7" s="20">
        <v>26760</v>
      </c>
      <c r="K7" s="21">
        <v>0</v>
      </c>
      <c r="L7" s="21">
        <v>669</v>
      </c>
      <c r="M7" s="21">
        <v>669</v>
      </c>
      <c r="N7" s="21"/>
      <c r="O7" s="21">
        <v>28098</v>
      </c>
      <c r="P7" s="22">
        <v>28098</v>
      </c>
    </row>
    <row r="8" spans="1:16" ht="15.6" x14ac:dyDescent="0.3">
      <c r="A8" s="9" t="s">
        <v>16</v>
      </c>
      <c r="B8" s="9" t="s">
        <v>17</v>
      </c>
      <c r="C8" s="9">
        <v>29</v>
      </c>
      <c r="D8" s="10">
        <v>43957</v>
      </c>
      <c r="E8" s="11">
        <v>1E-3</v>
      </c>
      <c r="F8" s="9" t="s">
        <v>18</v>
      </c>
      <c r="G8" s="9">
        <v>30</v>
      </c>
      <c r="H8" s="11" t="s">
        <v>19</v>
      </c>
      <c r="I8" s="12">
        <v>1115</v>
      </c>
      <c r="J8" s="13">
        <v>33450</v>
      </c>
      <c r="K8" s="14">
        <v>0</v>
      </c>
      <c r="L8" s="14">
        <v>16.725000000000001</v>
      </c>
      <c r="M8" s="14">
        <v>16.725000000000001</v>
      </c>
      <c r="N8" s="14"/>
      <c r="O8" s="14">
        <v>33483.449999999997</v>
      </c>
      <c r="P8" s="15">
        <v>33483.449999999997</v>
      </c>
    </row>
    <row r="9" spans="1:16" ht="15.6" x14ac:dyDescent="0.3">
      <c r="A9" s="16" t="s">
        <v>16</v>
      </c>
      <c r="B9" s="16" t="s">
        <v>17</v>
      </c>
      <c r="C9" s="16">
        <v>30</v>
      </c>
      <c r="D9" s="17">
        <v>43988</v>
      </c>
      <c r="E9" s="18">
        <v>0.03</v>
      </c>
      <c r="F9" s="16" t="s">
        <v>20</v>
      </c>
      <c r="G9" s="16">
        <v>12</v>
      </c>
      <c r="H9" s="18" t="s">
        <v>19</v>
      </c>
      <c r="I9" s="19">
        <v>1115</v>
      </c>
      <c r="J9" s="20">
        <v>13380</v>
      </c>
      <c r="K9" s="21">
        <v>0</v>
      </c>
      <c r="L9" s="21">
        <v>200.7</v>
      </c>
      <c r="M9" s="21">
        <v>200.7</v>
      </c>
      <c r="N9" s="21"/>
      <c r="O9" s="21">
        <v>13781.400000000001</v>
      </c>
      <c r="P9" s="22">
        <v>13781.400000000001</v>
      </c>
    </row>
    <row r="10" spans="1:16" ht="15.6" x14ac:dyDescent="0.3">
      <c r="A10" s="9" t="s">
        <v>22</v>
      </c>
      <c r="B10" s="9" t="s">
        <v>17</v>
      </c>
      <c r="C10" s="9">
        <v>31</v>
      </c>
      <c r="D10" s="10">
        <v>44018</v>
      </c>
      <c r="E10" s="11">
        <v>0.18</v>
      </c>
      <c r="F10" s="9" t="s">
        <v>18</v>
      </c>
      <c r="G10" s="9">
        <v>17</v>
      </c>
      <c r="H10" s="11" t="s">
        <v>19</v>
      </c>
      <c r="I10" s="12">
        <v>1115</v>
      </c>
      <c r="J10" s="13">
        <v>18955</v>
      </c>
      <c r="K10" s="14">
        <v>0</v>
      </c>
      <c r="L10" s="14">
        <v>1705.95</v>
      </c>
      <c r="M10" s="14">
        <v>1705.95</v>
      </c>
      <c r="N10" s="14"/>
      <c r="O10" s="14">
        <v>22366.9</v>
      </c>
      <c r="P10" s="15">
        <v>22366.9</v>
      </c>
    </row>
    <row r="11" spans="1:16" ht="15.6" x14ac:dyDescent="0.3">
      <c r="A11" s="16" t="s">
        <v>22</v>
      </c>
      <c r="B11" s="16" t="s">
        <v>17</v>
      </c>
      <c r="C11" s="16">
        <v>32</v>
      </c>
      <c r="D11" s="17">
        <v>43958</v>
      </c>
      <c r="E11" s="18">
        <v>1E-3</v>
      </c>
      <c r="F11" s="16" t="s">
        <v>20</v>
      </c>
      <c r="G11" s="16">
        <v>16</v>
      </c>
      <c r="H11" s="18" t="s">
        <v>19</v>
      </c>
      <c r="I11" s="19">
        <v>1115</v>
      </c>
      <c r="J11" s="20">
        <v>17840</v>
      </c>
      <c r="K11" s="21">
        <v>0</v>
      </c>
      <c r="L11" s="21">
        <v>8.92</v>
      </c>
      <c r="M11" s="21">
        <v>8.92</v>
      </c>
      <c r="N11" s="21"/>
      <c r="O11" s="21">
        <v>17857.839999999997</v>
      </c>
      <c r="P11" s="22">
        <v>17857.839999999997</v>
      </c>
    </row>
    <row r="12" spans="1:16" ht="15.6" x14ac:dyDescent="0.3">
      <c r="A12" s="9" t="s">
        <v>22</v>
      </c>
      <c r="B12" s="9" t="s">
        <v>17</v>
      </c>
      <c r="C12" s="9">
        <v>33</v>
      </c>
      <c r="D12" s="10">
        <v>43989</v>
      </c>
      <c r="E12" s="11">
        <v>0.28000000000000003</v>
      </c>
      <c r="F12" s="9" t="s">
        <v>18</v>
      </c>
      <c r="G12" s="9">
        <v>50</v>
      </c>
      <c r="H12" s="11" t="s">
        <v>19</v>
      </c>
      <c r="I12" s="12">
        <v>1115</v>
      </c>
      <c r="J12" s="13">
        <v>55750</v>
      </c>
      <c r="K12" s="14">
        <v>0</v>
      </c>
      <c r="L12" s="14">
        <v>7805.0000000000009</v>
      </c>
      <c r="M12" s="14">
        <v>7805.0000000000009</v>
      </c>
      <c r="N12" s="14"/>
      <c r="O12" s="14">
        <v>71360</v>
      </c>
      <c r="P12" s="15">
        <v>71360</v>
      </c>
    </row>
    <row r="13" spans="1:16" ht="15.6" x14ac:dyDescent="0.3">
      <c r="A13" s="16" t="s">
        <v>22</v>
      </c>
      <c r="B13" s="16" t="s">
        <v>17</v>
      </c>
      <c r="C13" s="16">
        <v>34</v>
      </c>
      <c r="D13" s="17">
        <v>44019</v>
      </c>
      <c r="E13" s="18">
        <v>0</v>
      </c>
      <c r="F13" s="16" t="s">
        <v>20</v>
      </c>
      <c r="G13" s="16">
        <v>21</v>
      </c>
      <c r="H13" s="18" t="s">
        <v>19</v>
      </c>
      <c r="I13" s="19">
        <v>1115</v>
      </c>
      <c r="J13" s="20">
        <v>23415</v>
      </c>
      <c r="K13" s="21">
        <v>0</v>
      </c>
      <c r="L13" s="21">
        <v>0</v>
      </c>
      <c r="M13" s="21">
        <v>0</v>
      </c>
      <c r="N13" s="21"/>
      <c r="O13" s="21">
        <v>23415</v>
      </c>
      <c r="P13" s="22">
        <v>23415</v>
      </c>
    </row>
    <row r="14" spans="1:16" ht="15.6" x14ac:dyDescent="0.3">
      <c r="A14" s="9" t="s">
        <v>16</v>
      </c>
      <c r="B14" s="9" t="s">
        <v>21</v>
      </c>
      <c r="C14" s="9">
        <v>35</v>
      </c>
      <c r="D14" s="10">
        <v>43959</v>
      </c>
      <c r="E14" s="23">
        <v>0.05</v>
      </c>
      <c r="F14" s="9" t="s">
        <v>18</v>
      </c>
      <c r="G14" s="24">
        <v>25</v>
      </c>
      <c r="H14" s="11" t="s">
        <v>19</v>
      </c>
      <c r="I14" s="12">
        <v>1115</v>
      </c>
      <c r="J14" s="13">
        <v>27875</v>
      </c>
      <c r="K14" s="14">
        <v>1393.75</v>
      </c>
      <c r="L14" s="14">
        <v>0</v>
      </c>
      <c r="M14" s="14">
        <v>0</v>
      </c>
      <c r="N14" s="14"/>
      <c r="O14" s="14">
        <v>29268.75</v>
      </c>
      <c r="P14" s="15">
        <v>29268.75</v>
      </c>
    </row>
    <row r="15" spans="1:16" ht="15.6" x14ac:dyDescent="0.3">
      <c r="A15" s="16" t="s">
        <v>16</v>
      </c>
      <c r="B15" s="16" t="s">
        <v>21</v>
      </c>
      <c r="C15" s="16">
        <v>36</v>
      </c>
      <c r="D15" s="17">
        <v>43990</v>
      </c>
      <c r="E15" s="25">
        <v>0.18</v>
      </c>
      <c r="F15" s="16" t="s">
        <v>20</v>
      </c>
      <c r="G15" s="26">
        <v>42</v>
      </c>
      <c r="H15" s="18" t="s">
        <v>19</v>
      </c>
      <c r="I15" s="19">
        <v>1115</v>
      </c>
      <c r="J15" s="20">
        <v>46830</v>
      </c>
      <c r="K15" s="21">
        <v>8429.4</v>
      </c>
      <c r="L15" s="21">
        <v>0</v>
      </c>
      <c r="M15" s="21">
        <v>0</v>
      </c>
      <c r="N15" s="21"/>
      <c r="O15" s="21">
        <v>55259.4</v>
      </c>
      <c r="P15" s="22">
        <v>55259.4</v>
      </c>
    </row>
    <row r="16" spans="1:16" ht="15.6" x14ac:dyDescent="0.3">
      <c r="A16" s="9" t="s">
        <v>16</v>
      </c>
      <c r="B16" s="9" t="s">
        <v>23</v>
      </c>
      <c r="C16" s="9">
        <v>37</v>
      </c>
      <c r="D16" s="10">
        <v>44020</v>
      </c>
      <c r="E16" s="23">
        <v>1E-3</v>
      </c>
      <c r="F16" s="9" t="s">
        <v>18</v>
      </c>
      <c r="G16" s="24">
        <v>32</v>
      </c>
      <c r="H16" s="11" t="s">
        <v>19</v>
      </c>
      <c r="I16" s="12">
        <v>1115</v>
      </c>
      <c r="J16" s="13">
        <v>35680</v>
      </c>
      <c r="K16" s="14">
        <v>0</v>
      </c>
      <c r="L16" s="14">
        <v>17.84</v>
      </c>
      <c r="M16" s="14">
        <v>17.84</v>
      </c>
      <c r="N16" s="14"/>
      <c r="O16" s="14">
        <v>35715.679999999993</v>
      </c>
      <c r="P16" s="15">
        <v>35715.679999999993</v>
      </c>
    </row>
    <row r="17" spans="1:16" ht="15.6" x14ac:dyDescent="0.3">
      <c r="A17" s="16" t="s">
        <v>16</v>
      </c>
      <c r="B17" s="16" t="s">
        <v>23</v>
      </c>
      <c r="C17" s="16">
        <v>38</v>
      </c>
      <c r="D17" s="17">
        <v>43960</v>
      </c>
      <c r="E17" s="25">
        <v>0</v>
      </c>
      <c r="F17" s="16" t="s">
        <v>20</v>
      </c>
      <c r="G17" s="26">
        <v>10</v>
      </c>
      <c r="H17" s="18" t="s">
        <v>19</v>
      </c>
      <c r="I17" s="19">
        <v>1115</v>
      </c>
      <c r="J17" s="20">
        <v>11150</v>
      </c>
      <c r="K17" s="21">
        <v>0</v>
      </c>
      <c r="L17" s="21">
        <v>0</v>
      </c>
      <c r="M17" s="21">
        <v>0</v>
      </c>
      <c r="N17" s="21"/>
      <c r="O17" s="21">
        <v>11150</v>
      </c>
      <c r="P17" s="22">
        <v>11150</v>
      </c>
    </row>
    <row r="18" spans="1:16" ht="15.6" x14ac:dyDescent="0.3">
      <c r="A18" s="9" t="s">
        <v>16</v>
      </c>
      <c r="B18" s="9" t="s">
        <v>23</v>
      </c>
      <c r="C18" s="9">
        <v>39</v>
      </c>
      <c r="D18" s="10">
        <v>43991</v>
      </c>
      <c r="E18" s="23">
        <v>0.28000000000000003</v>
      </c>
      <c r="F18" s="9" t="s">
        <v>18</v>
      </c>
      <c r="G18" s="24">
        <v>20</v>
      </c>
      <c r="H18" s="11" t="s">
        <v>19</v>
      </c>
      <c r="I18" s="12">
        <v>1115</v>
      </c>
      <c r="J18" s="13">
        <v>22300</v>
      </c>
      <c r="K18" s="14">
        <v>0</v>
      </c>
      <c r="L18" s="14">
        <v>3122.0000000000005</v>
      </c>
      <c r="M18" s="14">
        <v>3122.0000000000005</v>
      </c>
      <c r="N18" s="14"/>
      <c r="O18" s="14">
        <v>28544</v>
      </c>
      <c r="P18" s="15">
        <v>28544</v>
      </c>
    </row>
    <row r="19" spans="1:16" ht="15.6" x14ac:dyDescent="0.3">
      <c r="A19" s="16" t="s">
        <v>22</v>
      </c>
      <c r="B19" s="16" t="s">
        <v>23</v>
      </c>
      <c r="C19" s="16">
        <v>40</v>
      </c>
      <c r="D19" s="17">
        <v>44021</v>
      </c>
      <c r="E19" s="25">
        <v>0.12</v>
      </c>
      <c r="F19" s="16" t="s">
        <v>20</v>
      </c>
      <c r="G19" s="26">
        <v>30</v>
      </c>
      <c r="H19" s="18" t="s">
        <v>19</v>
      </c>
      <c r="I19" s="19">
        <v>1115</v>
      </c>
      <c r="J19" s="20">
        <v>33450</v>
      </c>
      <c r="K19" s="21">
        <v>0</v>
      </c>
      <c r="L19" s="21">
        <v>2007</v>
      </c>
      <c r="M19" s="21">
        <v>2007</v>
      </c>
      <c r="N19" s="21"/>
      <c r="O19" s="21">
        <v>37464</v>
      </c>
      <c r="P19" s="22">
        <v>37464</v>
      </c>
    </row>
    <row r="20" spans="1:16" ht="15.6" x14ac:dyDescent="0.3">
      <c r="A20" s="9" t="s">
        <v>22</v>
      </c>
      <c r="B20" s="9" t="s">
        <v>21</v>
      </c>
      <c r="C20" s="9">
        <v>41</v>
      </c>
      <c r="D20" s="10">
        <v>43961</v>
      </c>
      <c r="E20" s="23">
        <v>0.03</v>
      </c>
      <c r="F20" s="9" t="s">
        <v>18</v>
      </c>
      <c r="G20" s="24">
        <v>45</v>
      </c>
      <c r="H20" s="11" t="s">
        <v>19</v>
      </c>
      <c r="I20" s="12">
        <v>1115</v>
      </c>
      <c r="J20" s="13">
        <v>50175</v>
      </c>
      <c r="K20" s="14">
        <v>1505.25</v>
      </c>
      <c r="L20" s="14">
        <v>0</v>
      </c>
      <c r="M20" s="14">
        <v>0</v>
      </c>
      <c r="N20" s="14"/>
      <c r="O20" s="14">
        <v>51680.25</v>
      </c>
      <c r="P20" s="15">
        <v>51680.25</v>
      </c>
    </row>
    <row r="21" spans="1:16" ht="15.6" x14ac:dyDescent="0.3">
      <c r="A21" s="16" t="s">
        <v>22</v>
      </c>
      <c r="B21" s="16" t="s">
        <v>23</v>
      </c>
      <c r="C21" s="16">
        <v>42</v>
      </c>
      <c r="D21" s="17">
        <v>43992</v>
      </c>
      <c r="E21" s="25">
        <v>0.05</v>
      </c>
      <c r="F21" s="16" t="s">
        <v>20</v>
      </c>
      <c r="G21" s="26">
        <v>62</v>
      </c>
      <c r="H21" s="18" t="s">
        <v>19</v>
      </c>
      <c r="I21" s="19">
        <v>1115</v>
      </c>
      <c r="J21" s="20">
        <v>69130</v>
      </c>
      <c r="K21" s="21">
        <v>0</v>
      </c>
      <c r="L21" s="21">
        <v>1728.25</v>
      </c>
      <c r="M21" s="21">
        <v>1728.25</v>
      </c>
      <c r="N21" s="21"/>
      <c r="O21" s="21">
        <v>72586.5</v>
      </c>
      <c r="P21" s="22">
        <v>72586.5</v>
      </c>
    </row>
    <row r="22" spans="1:16" ht="15.6" x14ac:dyDescent="0.3">
      <c r="A22" s="9" t="s">
        <v>22</v>
      </c>
      <c r="B22" s="9" t="s">
        <v>23</v>
      </c>
      <c r="C22" s="9">
        <v>43</v>
      </c>
      <c r="D22" s="10">
        <v>44022</v>
      </c>
      <c r="E22" s="23">
        <v>0</v>
      </c>
      <c r="F22" s="9" t="s">
        <v>18</v>
      </c>
      <c r="G22" s="24">
        <v>12</v>
      </c>
      <c r="H22" s="11" t="s">
        <v>19</v>
      </c>
      <c r="I22" s="12">
        <v>1115</v>
      </c>
      <c r="J22" s="13">
        <v>13380</v>
      </c>
      <c r="K22" s="14">
        <v>0</v>
      </c>
      <c r="L22" s="14">
        <v>0</v>
      </c>
      <c r="M22" s="14">
        <v>0</v>
      </c>
      <c r="N22" s="14"/>
      <c r="O22" s="14">
        <v>13380</v>
      </c>
      <c r="P22" s="15">
        <v>13380</v>
      </c>
    </row>
    <row r="23" spans="1:16" ht="15.6" x14ac:dyDescent="0.3">
      <c r="A23" s="16" t="s">
        <v>22</v>
      </c>
      <c r="B23" s="16" t="s">
        <v>23</v>
      </c>
      <c r="C23" s="16">
        <v>44</v>
      </c>
      <c r="D23" s="17">
        <v>43962</v>
      </c>
      <c r="E23" s="25">
        <v>0</v>
      </c>
      <c r="F23" s="16" t="s">
        <v>20</v>
      </c>
      <c r="G23" s="26">
        <v>25</v>
      </c>
      <c r="H23" s="18" t="s">
        <v>19</v>
      </c>
      <c r="I23" s="19">
        <v>1115</v>
      </c>
      <c r="J23" s="20">
        <v>27875</v>
      </c>
      <c r="K23" s="21">
        <v>0</v>
      </c>
      <c r="L23" s="21">
        <v>0</v>
      </c>
      <c r="M23" s="21">
        <v>0</v>
      </c>
      <c r="N23" s="21"/>
      <c r="O23" s="21">
        <v>27875</v>
      </c>
      <c r="P23" s="22">
        <v>27875</v>
      </c>
    </row>
    <row r="24" spans="1:16" ht="15.6" x14ac:dyDescent="0.3">
      <c r="A24" s="9" t="s">
        <v>22</v>
      </c>
      <c r="B24" s="9" t="s">
        <v>23</v>
      </c>
      <c r="C24" s="9">
        <v>45</v>
      </c>
      <c r="D24" s="10">
        <v>43993</v>
      </c>
      <c r="E24" s="23">
        <v>0.12</v>
      </c>
      <c r="F24" s="9" t="s">
        <v>18</v>
      </c>
      <c r="G24" s="24">
        <v>45</v>
      </c>
      <c r="H24" s="11" t="s">
        <v>19</v>
      </c>
      <c r="I24" s="12">
        <v>1115</v>
      </c>
      <c r="J24" s="13">
        <v>50175</v>
      </c>
      <c r="K24" s="14">
        <v>0</v>
      </c>
      <c r="L24" s="14">
        <v>3010.5</v>
      </c>
      <c r="M24" s="14">
        <v>3010.5</v>
      </c>
      <c r="N24" s="14"/>
      <c r="O24" s="14">
        <v>56196</v>
      </c>
      <c r="P24" s="15">
        <v>56196</v>
      </c>
    </row>
    <row r="25" spans="1:16" ht="15.6" x14ac:dyDescent="0.3">
      <c r="A25" s="16" t="s">
        <v>22</v>
      </c>
      <c r="B25" s="16" t="s">
        <v>23</v>
      </c>
      <c r="C25" s="16">
        <v>46</v>
      </c>
      <c r="D25" s="17">
        <v>44023</v>
      </c>
      <c r="E25" s="25">
        <v>0.12</v>
      </c>
      <c r="F25" s="16" t="s">
        <v>20</v>
      </c>
      <c r="G25" s="26">
        <v>20</v>
      </c>
      <c r="H25" s="18" t="s">
        <v>19</v>
      </c>
      <c r="I25" s="19">
        <v>1115</v>
      </c>
      <c r="J25" s="20">
        <v>22300</v>
      </c>
      <c r="K25" s="21">
        <v>0</v>
      </c>
      <c r="L25" s="21">
        <v>1338</v>
      </c>
      <c r="M25" s="21">
        <v>1338</v>
      </c>
      <c r="N25" s="21"/>
      <c r="O25" s="21">
        <v>24976</v>
      </c>
      <c r="P25" s="22">
        <v>24976</v>
      </c>
    </row>
    <row r="26" spans="1:16" ht="15.6" x14ac:dyDescent="0.3">
      <c r="A26" s="9" t="s">
        <v>22</v>
      </c>
      <c r="B26" s="9" t="s">
        <v>23</v>
      </c>
      <c r="C26" s="9">
        <v>47</v>
      </c>
      <c r="D26" s="10">
        <v>43963</v>
      </c>
      <c r="E26" s="23">
        <v>0.03</v>
      </c>
      <c r="F26" s="9" t="s">
        <v>18</v>
      </c>
      <c r="G26" s="24">
        <v>10</v>
      </c>
      <c r="H26" s="11" t="s">
        <v>19</v>
      </c>
      <c r="I26" s="12">
        <v>1115</v>
      </c>
      <c r="J26" s="13">
        <v>11150</v>
      </c>
      <c r="K26" s="14">
        <v>0</v>
      </c>
      <c r="L26" s="14">
        <v>167.25</v>
      </c>
      <c r="M26" s="14">
        <v>167.25</v>
      </c>
      <c r="N26" s="14"/>
      <c r="O26" s="14">
        <v>11484.5</v>
      </c>
      <c r="P26" s="15">
        <v>11484.5</v>
      </c>
    </row>
    <row r="27" spans="1:16" ht="15.6" x14ac:dyDescent="0.3">
      <c r="A27" s="16" t="s">
        <v>16</v>
      </c>
      <c r="B27" s="16" t="s">
        <v>23</v>
      </c>
      <c r="C27" s="16">
        <v>48</v>
      </c>
      <c r="D27" s="17">
        <v>43994</v>
      </c>
      <c r="E27" s="25">
        <v>0.28000000000000003</v>
      </c>
      <c r="F27" s="16" t="s">
        <v>20</v>
      </c>
      <c r="G27" s="26">
        <v>35</v>
      </c>
      <c r="H27" s="18" t="s">
        <v>19</v>
      </c>
      <c r="I27" s="19">
        <v>1115</v>
      </c>
      <c r="J27" s="20">
        <v>39025</v>
      </c>
      <c r="K27" s="21">
        <v>0</v>
      </c>
      <c r="L27" s="21">
        <v>5463.5000000000009</v>
      </c>
      <c r="M27" s="21">
        <v>5463.5000000000009</v>
      </c>
      <c r="N27" s="21"/>
      <c r="O27" s="21">
        <v>49952</v>
      </c>
      <c r="P27" s="22">
        <v>49952</v>
      </c>
    </row>
    <row r="28" spans="1:16" ht="15.6" x14ac:dyDescent="0.3">
      <c r="A28" s="9" t="s">
        <v>16</v>
      </c>
      <c r="B28" s="9" t="s">
        <v>23</v>
      </c>
      <c r="C28" s="9">
        <v>49</v>
      </c>
      <c r="D28" s="10">
        <v>44024</v>
      </c>
      <c r="E28" s="23">
        <v>0.12</v>
      </c>
      <c r="F28" s="9" t="s">
        <v>18</v>
      </c>
      <c r="G28" s="24">
        <v>15</v>
      </c>
      <c r="H28" s="11" t="s">
        <v>19</v>
      </c>
      <c r="I28" s="12">
        <v>1115</v>
      </c>
      <c r="J28" s="13">
        <v>16725</v>
      </c>
      <c r="K28" s="14">
        <v>0</v>
      </c>
      <c r="L28" s="14">
        <v>1003.5</v>
      </c>
      <c r="M28" s="14">
        <v>1003.5</v>
      </c>
      <c r="N28" s="14"/>
      <c r="O28" s="14">
        <v>18732</v>
      </c>
      <c r="P28" s="15">
        <v>18732</v>
      </c>
    </row>
    <row r="29" spans="1:16" ht="15.6" x14ac:dyDescent="0.3">
      <c r="A29" s="16" t="s">
        <v>16</v>
      </c>
      <c r="B29" s="16" t="s">
        <v>23</v>
      </c>
      <c r="C29" s="16">
        <v>50</v>
      </c>
      <c r="D29" s="17">
        <v>44317</v>
      </c>
      <c r="E29" s="25">
        <v>0.03</v>
      </c>
      <c r="F29" s="16" t="s">
        <v>20</v>
      </c>
      <c r="G29" s="26">
        <v>25</v>
      </c>
      <c r="H29" s="18" t="s">
        <v>19</v>
      </c>
      <c r="I29" s="19">
        <v>1115</v>
      </c>
      <c r="J29" s="20">
        <v>27875</v>
      </c>
      <c r="K29" s="21">
        <v>0</v>
      </c>
      <c r="L29" s="21">
        <v>418.125</v>
      </c>
      <c r="M29" s="21">
        <v>418.125</v>
      </c>
      <c r="N29" s="21"/>
      <c r="O29" s="21">
        <v>28711.25</v>
      </c>
      <c r="P29" s="22">
        <v>28711.25</v>
      </c>
    </row>
    <row r="30" spans="1:16" ht="15.6" x14ac:dyDescent="0.3">
      <c r="A30" s="9" t="s">
        <v>16</v>
      </c>
      <c r="B30" s="9" t="s">
        <v>23</v>
      </c>
      <c r="C30" s="9">
        <v>51</v>
      </c>
      <c r="D30" s="10">
        <v>44348</v>
      </c>
      <c r="E30" s="23">
        <v>0.28000000000000003</v>
      </c>
      <c r="F30" s="9" t="s">
        <v>18</v>
      </c>
      <c r="G30" s="24">
        <v>10</v>
      </c>
      <c r="H30" s="11" t="s">
        <v>19</v>
      </c>
      <c r="I30" s="12">
        <v>1115</v>
      </c>
      <c r="J30" s="13">
        <v>11150</v>
      </c>
      <c r="K30" s="14">
        <v>0</v>
      </c>
      <c r="L30" s="14">
        <v>1561.0000000000002</v>
      </c>
      <c r="M30" s="14">
        <v>1561.0000000000002</v>
      </c>
      <c r="N30" s="14"/>
      <c r="O30" s="14">
        <v>14272</v>
      </c>
      <c r="P30" s="15">
        <v>14272</v>
      </c>
    </row>
    <row r="31" spans="1:16" ht="15.6" x14ac:dyDescent="0.3">
      <c r="A31" s="16" t="s">
        <v>16</v>
      </c>
      <c r="B31" s="16" t="s">
        <v>23</v>
      </c>
      <c r="C31" s="16">
        <v>52</v>
      </c>
      <c r="D31" s="17">
        <v>44378</v>
      </c>
      <c r="E31" s="25">
        <v>0.05</v>
      </c>
      <c r="F31" s="16" t="s">
        <v>20</v>
      </c>
      <c r="G31" s="26">
        <v>5</v>
      </c>
      <c r="H31" s="18" t="s">
        <v>19</v>
      </c>
      <c r="I31" s="19">
        <v>1115</v>
      </c>
      <c r="J31" s="20">
        <v>5575</v>
      </c>
      <c r="K31" s="21">
        <v>0</v>
      </c>
      <c r="L31" s="21">
        <v>139.375</v>
      </c>
      <c r="M31" s="21">
        <v>139.375</v>
      </c>
      <c r="N31" s="21"/>
      <c r="O31" s="21">
        <v>5853.75</v>
      </c>
      <c r="P31" s="22">
        <v>5853.75</v>
      </c>
    </row>
    <row r="32" spans="1:16" ht="15.6" x14ac:dyDescent="0.3">
      <c r="A32" s="9" t="s">
        <v>22</v>
      </c>
      <c r="B32" s="9" t="s">
        <v>23</v>
      </c>
      <c r="C32" s="9">
        <v>53</v>
      </c>
      <c r="D32" s="10">
        <v>44318</v>
      </c>
      <c r="E32" s="23">
        <v>0.03</v>
      </c>
      <c r="F32" s="9" t="s">
        <v>18</v>
      </c>
      <c r="G32" s="24">
        <v>8</v>
      </c>
      <c r="H32" s="11" t="s">
        <v>19</v>
      </c>
      <c r="I32" s="12">
        <v>1115</v>
      </c>
      <c r="J32" s="13">
        <v>8920</v>
      </c>
      <c r="K32" s="14">
        <v>0</v>
      </c>
      <c r="L32" s="14">
        <v>133.79999999999998</v>
      </c>
      <c r="M32" s="14">
        <v>133.79999999999998</v>
      </c>
      <c r="N32" s="14"/>
      <c r="O32" s="14">
        <v>9187.5999999999985</v>
      </c>
      <c r="P32" s="15">
        <v>9187.5999999999985</v>
      </c>
    </row>
    <row r="33" spans="1:16" ht="15.6" x14ac:dyDescent="0.3">
      <c r="A33" s="16" t="s">
        <v>22</v>
      </c>
      <c r="B33" s="16" t="s">
        <v>23</v>
      </c>
      <c r="C33" s="16">
        <v>54</v>
      </c>
      <c r="D33" s="17">
        <v>44349</v>
      </c>
      <c r="E33" s="25">
        <v>0.05</v>
      </c>
      <c r="F33" s="16" t="s">
        <v>20</v>
      </c>
      <c r="G33" s="26">
        <v>10</v>
      </c>
      <c r="H33" s="18" t="s">
        <v>19</v>
      </c>
      <c r="I33" s="19">
        <v>1115</v>
      </c>
      <c r="J33" s="20">
        <v>11150</v>
      </c>
      <c r="K33" s="21">
        <v>0</v>
      </c>
      <c r="L33" s="21">
        <v>278.75</v>
      </c>
      <c r="M33" s="21">
        <v>278.75</v>
      </c>
      <c r="N33" s="21"/>
      <c r="O33" s="21">
        <v>11707.5</v>
      </c>
      <c r="P33" s="22">
        <v>11707.5</v>
      </c>
    </row>
    <row r="34" spans="1:16" ht="15.6" x14ac:dyDescent="0.3">
      <c r="A34" s="9" t="s">
        <v>22</v>
      </c>
      <c r="B34" s="9" t="s">
        <v>23</v>
      </c>
      <c r="C34" s="9">
        <v>55</v>
      </c>
      <c r="D34" s="10">
        <v>44379</v>
      </c>
      <c r="E34" s="23">
        <v>0.05</v>
      </c>
      <c r="F34" s="9" t="s">
        <v>18</v>
      </c>
      <c r="G34" s="24">
        <v>2</v>
      </c>
      <c r="H34" s="11" t="s">
        <v>19</v>
      </c>
      <c r="I34" s="12">
        <v>1115</v>
      </c>
      <c r="J34" s="13">
        <v>2230</v>
      </c>
      <c r="K34" s="14">
        <v>0</v>
      </c>
      <c r="L34" s="14">
        <v>55.75</v>
      </c>
      <c r="M34" s="14">
        <v>55.75</v>
      </c>
      <c r="N34" s="14"/>
      <c r="O34" s="14">
        <v>2341.5</v>
      </c>
      <c r="P34" s="15">
        <v>2341.5</v>
      </c>
    </row>
    <row r="35" spans="1:16" ht="15.6" x14ac:dyDescent="0.3">
      <c r="A35" s="16" t="s">
        <v>22</v>
      </c>
      <c r="B35" s="16" t="s">
        <v>23</v>
      </c>
      <c r="C35" s="16">
        <v>56</v>
      </c>
      <c r="D35" s="17">
        <v>44319</v>
      </c>
      <c r="E35" s="25">
        <v>0.28000000000000003</v>
      </c>
      <c r="F35" s="16" t="s">
        <v>20</v>
      </c>
      <c r="G35" s="26">
        <v>4</v>
      </c>
      <c r="H35" s="18" t="s">
        <v>19</v>
      </c>
      <c r="I35" s="19">
        <v>1115</v>
      </c>
      <c r="J35" s="20">
        <v>4460</v>
      </c>
      <c r="K35" s="21">
        <v>0</v>
      </c>
      <c r="L35" s="21">
        <v>624.40000000000009</v>
      </c>
      <c r="M35" s="21">
        <v>624.40000000000009</v>
      </c>
      <c r="N35" s="21"/>
      <c r="O35" s="21">
        <v>5708.7999999999993</v>
      </c>
      <c r="P35" s="22">
        <v>5708.7999999999993</v>
      </c>
    </row>
    <row r="36" spans="1:16" ht="15.6" x14ac:dyDescent="0.3">
      <c r="A36" s="9" t="s">
        <v>16</v>
      </c>
      <c r="B36" s="9" t="s">
        <v>23</v>
      </c>
      <c r="C36" s="9">
        <v>57</v>
      </c>
      <c r="D36" s="10">
        <v>44350</v>
      </c>
      <c r="E36" s="23">
        <v>1E-3</v>
      </c>
      <c r="F36" s="9" t="s">
        <v>18</v>
      </c>
      <c r="G36" s="24">
        <v>6</v>
      </c>
      <c r="H36" s="11" t="s">
        <v>19</v>
      </c>
      <c r="I36" s="12">
        <v>1115</v>
      </c>
      <c r="J36" s="13">
        <v>6690</v>
      </c>
      <c r="K36" s="14">
        <v>0</v>
      </c>
      <c r="L36" s="14">
        <v>3.3450000000000002</v>
      </c>
      <c r="M36" s="14">
        <v>3.3450000000000002</v>
      </c>
      <c r="N36" s="14"/>
      <c r="O36" s="14">
        <v>6696.6900000000005</v>
      </c>
      <c r="P36" s="15">
        <v>6696.6900000000005</v>
      </c>
    </row>
    <row r="37" spans="1:16" ht="15.6" x14ac:dyDescent="0.3">
      <c r="A37" s="27" t="s">
        <v>16</v>
      </c>
      <c r="B37" s="27" t="s">
        <v>23</v>
      </c>
      <c r="C37" s="27">
        <v>58</v>
      </c>
      <c r="D37" s="28">
        <v>44380</v>
      </c>
      <c r="E37" s="29">
        <v>0</v>
      </c>
      <c r="F37" s="27" t="s">
        <v>20</v>
      </c>
      <c r="G37" s="30">
        <v>5</v>
      </c>
      <c r="H37" s="31" t="s">
        <v>19</v>
      </c>
      <c r="I37" s="32">
        <v>1115</v>
      </c>
      <c r="J37" s="33">
        <v>5575</v>
      </c>
      <c r="K37" s="34">
        <v>0</v>
      </c>
      <c r="L37" s="34">
        <v>0</v>
      </c>
      <c r="M37" s="34">
        <v>0</v>
      </c>
      <c r="N37" s="34"/>
      <c r="O37" s="34">
        <v>5575</v>
      </c>
      <c r="P37" s="35">
        <v>5575</v>
      </c>
    </row>
  </sheetData>
  <conditionalFormatting sqref="A10:A13 A19:A26 A32:A35">
    <cfRule type="expression" dxfId="32" priority="9">
      <formula>IF(ISBLANK(#REF!), 0, SEARCH(#REF!,$A10&amp;#REF!&amp;$B4&amp;$C4&amp;#REF!&amp;$J4))</formula>
    </cfRule>
  </conditionalFormatting>
  <conditionalFormatting sqref="A12:A13">
    <cfRule type="expression" dxfId="31" priority="6">
      <formula>IF(ISBLANK(#REF!), 0, SEARCH(#REF!,$A12&amp;#REF!&amp;$B6&amp;$C6&amp;#REF!&amp;$E6))</formula>
    </cfRule>
  </conditionalFormatting>
  <conditionalFormatting sqref="A21:A22 A25:A26 A34:A35">
    <cfRule type="expression" dxfId="30" priority="13">
      <formula>IF(ISBLANK(#REF!), 0, SEARCH(#REF!,$A21&amp;#REF!&amp;$B15&amp;$C15&amp;#REF!&amp;$E15))</formula>
    </cfRule>
  </conditionalFormatting>
  <conditionalFormatting sqref="B14:B37 E16:E37 G16:G37 J16:J37">
    <cfRule type="expression" dxfId="29" priority="2">
      <formula>IF(ISBLANK(#REF!), 0, SEARCH(#REF!,$A14&amp;#REF!&amp;$B14&amp;$D14&amp;#REF!&amp;$J14))</formula>
    </cfRule>
  </conditionalFormatting>
  <conditionalFormatting sqref="B16:B37 E16:E37 G16:G37 J16:J37">
    <cfRule type="expression" dxfId="28" priority="1">
      <formula>IF(ISBLANK(#REF!), 0, SEARCH(#REF!,$A16&amp;#REF!&amp;$B16&amp;$D16&amp;#REF!&amp;$E16))</formula>
    </cfRule>
  </conditionalFormatting>
  <conditionalFormatting sqref="C2:C3 E2:J3 A4:A9 B4:C13 F4:F37 H4:I37 C14:C37">
    <cfRule type="expression" dxfId="27" priority="5">
      <formula>IF(ISBLANK(#REF!), 0, SEARCH(#REF!,$A2&amp;#REF!&amp;$B2&amp;$C2&amp;#REF!&amp;$J2))</formula>
    </cfRule>
  </conditionalFormatting>
  <conditionalFormatting sqref="D2:D37 A16:A18 A29:A31 A37">
    <cfRule type="expression" dxfId="26" priority="12">
      <formula>IF(ISBLANK(#REF!), 0, SEARCH(#REF!,$A2&amp;#REF!&amp;$B2&amp;$C2&amp;#REF!&amp;$J2))</formula>
    </cfRule>
  </conditionalFormatting>
  <conditionalFormatting sqref="E4:E9 G4:G9 J4:J9">
    <cfRule type="expression" dxfId="25" priority="10">
      <formula>IF(ISBLANK(#REF!), 0, SEARCH(#REF!,$A10&amp;#REF!&amp;$B4&amp;$C4&amp;#REF!&amp;$J4))</formula>
    </cfRule>
  </conditionalFormatting>
  <conditionalFormatting sqref="E6:E9 G6:G9 J6:J9">
    <cfRule type="expression" dxfId="24" priority="7">
      <formula>IF(ISBLANK(#REF!), 0, SEARCH(#REF!,$A12&amp;#REF!&amp;$B6&amp;$C6&amp;#REF!&amp;$E6))</formula>
    </cfRule>
  </conditionalFormatting>
  <conditionalFormatting sqref="E10:E13 G10:G13 J10:J13">
    <cfRule type="expression" dxfId="23" priority="8">
      <formula>IF(ISBLANK(#REF!), 0, SEARCH(#REF!,#REF!&amp;#REF!&amp;$B10&amp;$C10&amp;#REF!&amp;$E10))</formula>
    </cfRule>
    <cfRule type="expression" dxfId="22" priority="11">
      <formula>IF(ISBLANK(#REF!), 0, SEARCH(#REF!,#REF!&amp;#REF!&amp;$B10&amp;$C10&amp;#REF!&amp;$J10))</formula>
    </cfRule>
  </conditionalFormatting>
  <conditionalFormatting sqref="E14:E15 G14:G15 J14:J15">
    <cfRule type="expression" dxfId="21" priority="3">
      <formula>IF(ISBLANK(#REF!), 0, SEARCH(#REF!,#REF!&amp;#REF!&amp;$B14&amp;$D14&amp;#REF!&amp;$E14))</formula>
    </cfRule>
    <cfRule type="expression" dxfId="20" priority="4">
      <formula>IF(ISBLANK(#REF!), 0, SEARCH(#REF!,#REF!&amp;#REF!&amp;$B14&amp;$D14&amp;#REF!&amp;$J14))</formula>
    </cfRule>
  </conditionalFormatting>
  <dataValidations count="4">
    <dataValidation operator="equal" allowBlank="1" showInputMessage="1" showErrorMessage="1" sqref="A2:A37" xr:uid="{00000000-0002-0000-0600-000000000000}"/>
    <dataValidation type="list" allowBlank="1" showInputMessage="1" showErrorMessage="1" sqref="B2:B37" xr:uid="{00000000-0002-0000-0600-000001000000}">
      <formula1>"LOCAL,INTERSTATE"</formula1>
    </dataValidation>
    <dataValidation type="list" allowBlank="1" showInputMessage="1" showErrorMessage="1" sqref="E2:E37" xr:uid="{00000000-0002-0000-0600-000002000000}">
      <formula1>$S$2:$S$8</formula1>
    </dataValidation>
    <dataValidation type="list" allowBlank="1" showInputMessage="1" showErrorMessage="1" sqref="H2:H37" xr:uid="{00000000-0002-0000-0600-000003000000}">
      <formula1>"PCS,NOS,KG,DOZ"</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8E2CA-04C7-4159-8424-623C5E665EF7}">
  <dimension ref="B1:Y20"/>
  <sheetViews>
    <sheetView showGridLines="0" showRowColHeaders="0" topLeftCell="B1" zoomScaleNormal="100" workbookViewId="0">
      <selection activeCell="B1" sqref="B1:Y3"/>
    </sheetView>
  </sheetViews>
  <sheetFormatPr defaultRowHeight="14.4" x14ac:dyDescent="0.3"/>
  <sheetData>
    <row r="1" spans="2:25" x14ac:dyDescent="0.3">
      <c r="B1" s="41" t="s">
        <v>40</v>
      </c>
      <c r="C1" s="49"/>
      <c r="D1" s="49"/>
      <c r="E1" s="49"/>
      <c r="F1" s="49"/>
      <c r="G1" s="49"/>
      <c r="H1" s="49"/>
      <c r="I1" s="49"/>
      <c r="J1" s="49"/>
      <c r="K1" s="49"/>
      <c r="L1" s="49"/>
      <c r="M1" s="49"/>
      <c r="N1" s="49"/>
      <c r="O1" s="49"/>
      <c r="P1" s="49"/>
      <c r="Q1" s="49"/>
      <c r="R1" s="49"/>
      <c r="S1" s="49"/>
      <c r="T1" s="49"/>
      <c r="U1" s="49"/>
      <c r="V1" s="49"/>
      <c r="W1" s="49"/>
      <c r="X1" s="49"/>
      <c r="Y1" s="49"/>
    </row>
    <row r="2" spans="2:25" x14ac:dyDescent="0.3">
      <c r="B2" s="49"/>
      <c r="C2" s="49"/>
      <c r="D2" s="49"/>
      <c r="E2" s="49"/>
      <c r="F2" s="49"/>
      <c r="G2" s="49"/>
      <c r="H2" s="49"/>
      <c r="I2" s="49"/>
      <c r="J2" s="49"/>
      <c r="K2" s="49"/>
      <c r="L2" s="49"/>
      <c r="M2" s="49"/>
      <c r="N2" s="49"/>
      <c r="O2" s="49"/>
      <c r="P2" s="49"/>
      <c r="Q2" s="49"/>
      <c r="R2" s="49"/>
      <c r="S2" s="49"/>
      <c r="T2" s="49"/>
      <c r="U2" s="49"/>
      <c r="V2" s="49"/>
      <c r="W2" s="49"/>
      <c r="X2" s="49"/>
      <c r="Y2" s="49"/>
    </row>
    <row r="3" spans="2:25" x14ac:dyDescent="0.3">
      <c r="B3" s="49"/>
      <c r="C3" s="49"/>
      <c r="D3" s="49"/>
      <c r="E3" s="49"/>
      <c r="F3" s="49"/>
      <c r="G3" s="49"/>
      <c r="H3" s="49"/>
      <c r="I3" s="49"/>
      <c r="J3" s="49"/>
      <c r="K3" s="49"/>
      <c r="L3" s="49"/>
      <c r="M3" s="49"/>
      <c r="N3" s="49"/>
      <c r="O3" s="49"/>
      <c r="P3" s="49"/>
      <c r="Q3" s="49"/>
      <c r="R3" s="49"/>
      <c r="S3" s="49"/>
      <c r="T3" s="49"/>
      <c r="U3" s="49"/>
      <c r="V3" s="49"/>
      <c r="W3" s="49"/>
      <c r="X3" s="49"/>
      <c r="Y3" s="49"/>
    </row>
    <row r="4" spans="2:25" ht="14.4" customHeight="1" x14ac:dyDescent="0.3">
      <c r="D4" s="44" t="s">
        <v>35</v>
      </c>
      <c r="E4" s="44"/>
      <c r="F4" s="44"/>
      <c r="G4" s="44"/>
      <c r="H4" s="42"/>
      <c r="I4" s="42"/>
      <c r="J4" s="42"/>
      <c r="K4" s="42"/>
      <c r="L4" s="46"/>
      <c r="M4" s="46"/>
      <c r="N4" s="46"/>
      <c r="O4" s="46"/>
      <c r="P4" s="46"/>
      <c r="Q4" s="44" t="s">
        <v>38</v>
      </c>
      <c r="R4" s="44"/>
      <c r="S4" s="44"/>
      <c r="T4" s="44"/>
      <c r="U4" s="44"/>
      <c r="V4" s="44"/>
    </row>
    <row r="5" spans="2:25" ht="18" customHeight="1" x14ac:dyDescent="0.3">
      <c r="D5" s="44"/>
      <c r="E5" s="44"/>
      <c r="F5" s="44"/>
      <c r="G5" s="44"/>
      <c r="H5" s="42"/>
      <c r="I5" s="42"/>
      <c r="J5" s="42"/>
      <c r="K5" s="42"/>
      <c r="L5" s="44" t="s">
        <v>36</v>
      </c>
      <c r="M5" s="44"/>
      <c r="N5" s="44"/>
      <c r="O5" s="44"/>
      <c r="P5" s="47"/>
      <c r="Q5" s="44"/>
      <c r="R5" s="44"/>
      <c r="S5" s="44"/>
      <c r="T5" s="44"/>
      <c r="U5" s="44"/>
      <c r="V5" s="44"/>
    </row>
    <row r="6" spans="2:25" ht="14.4" customHeight="1" x14ac:dyDescent="0.3">
      <c r="D6" s="44"/>
      <c r="E6" s="44"/>
      <c r="F6" s="44"/>
      <c r="G6" s="44"/>
      <c r="H6" s="42"/>
      <c r="I6" s="42"/>
      <c r="J6" s="42"/>
      <c r="K6" s="42"/>
      <c r="L6" s="44"/>
      <c r="M6" s="44"/>
      <c r="N6" s="44"/>
      <c r="O6" s="44"/>
      <c r="P6" s="47"/>
      <c r="Q6" s="44"/>
      <c r="R6" s="44"/>
      <c r="S6" s="44"/>
      <c r="T6" s="44"/>
      <c r="U6" s="44"/>
      <c r="V6" s="44"/>
    </row>
    <row r="7" spans="2:25" x14ac:dyDescent="0.3">
      <c r="D7" s="40"/>
      <c r="E7" s="40"/>
      <c r="F7" s="40"/>
      <c r="G7" s="40"/>
      <c r="H7" s="40"/>
      <c r="I7" s="40"/>
      <c r="J7" s="40"/>
      <c r="Q7" s="40"/>
      <c r="R7" s="40"/>
      <c r="S7" s="40"/>
      <c r="T7" s="40"/>
      <c r="U7" s="40"/>
      <c r="V7" s="40"/>
    </row>
    <row r="8" spans="2:25" x14ac:dyDescent="0.3">
      <c r="D8" s="40"/>
      <c r="E8" s="40"/>
      <c r="F8" s="40"/>
      <c r="G8" s="40"/>
      <c r="H8" s="40"/>
      <c r="I8" s="40"/>
      <c r="J8" s="40"/>
      <c r="Q8" s="40"/>
      <c r="R8" s="40"/>
      <c r="S8" s="40"/>
      <c r="T8" s="40"/>
      <c r="U8" s="40"/>
      <c r="V8" s="40"/>
    </row>
    <row r="9" spans="2:25" x14ac:dyDescent="0.3">
      <c r="D9" s="40"/>
      <c r="E9" s="40"/>
      <c r="F9" s="40"/>
      <c r="G9" s="40"/>
      <c r="H9" s="40"/>
      <c r="I9" s="40"/>
      <c r="J9" s="40"/>
      <c r="Q9" s="40"/>
      <c r="R9" s="40"/>
      <c r="S9" s="40"/>
      <c r="T9" s="40"/>
      <c r="U9" s="40"/>
      <c r="V9" s="40"/>
    </row>
    <row r="10" spans="2:25" x14ac:dyDescent="0.3">
      <c r="D10" s="40"/>
      <c r="E10" s="40"/>
      <c r="F10" s="40"/>
      <c r="G10" s="40"/>
      <c r="H10" s="40"/>
      <c r="I10" s="40"/>
      <c r="J10" s="40"/>
      <c r="Q10" s="40"/>
      <c r="R10" s="40"/>
      <c r="S10" s="40"/>
      <c r="T10" s="40"/>
      <c r="U10" s="40"/>
      <c r="V10" s="40"/>
    </row>
    <row r="11" spans="2:25" x14ac:dyDescent="0.3">
      <c r="D11" s="40"/>
      <c r="E11" s="40"/>
      <c r="F11" s="40"/>
      <c r="G11" s="40"/>
      <c r="H11" s="40"/>
      <c r="I11" s="40"/>
      <c r="J11" s="40"/>
      <c r="Q11" s="40"/>
      <c r="R11" s="40"/>
      <c r="S11" s="40"/>
      <c r="T11" s="40"/>
      <c r="U11" s="40"/>
      <c r="V11" s="40"/>
    </row>
    <row r="12" spans="2:25" x14ac:dyDescent="0.3">
      <c r="D12" s="40"/>
      <c r="E12" s="40"/>
      <c r="F12" s="40"/>
      <c r="G12" s="40"/>
      <c r="H12" s="40"/>
      <c r="I12" s="40"/>
      <c r="J12" s="40"/>
      <c r="Q12" s="40"/>
      <c r="R12" s="40"/>
      <c r="S12" s="40"/>
      <c r="T12" s="40"/>
      <c r="U12" s="40"/>
      <c r="V12" s="40"/>
    </row>
    <row r="13" spans="2:25" x14ac:dyDescent="0.3">
      <c r="D13" s="40"/>
      <c r="E13" s="40"/>
      <c r="F13" s="40"/>
      <c r="G13" s="40"/>
      <c r="H13" s="40"/>
      <c r="I13" s="40"/>
      <c r="J13" s="40"/>
      <c r="Q13" s="40"/>
      <c r="R13" s="40"/>
      <c r="S13" s="40"/>
      <c r="T13" s="40"/>
      <c r="U13" s="40"/>
      <c r="V13" s="40"/>
    </row>
    <row r="14" spans="2:25" x14ac:dyDescent="0.3">
      <c r="I14" s="40"/>
      <c r="J14" s="40"/>
      <c r="Q14" s="40"/>
      <c r="R14" s="40"/>
      <c r="S14" s="40"/>
      <c r="T14" s="40"/>
      <c r="U14" s="40"/>
      <c r="V14" s="40"/>
    </row>
    <row r="15" spans="2:25" x14ac:dyDescent="0.3">
      <c r="I15" s="40"/>
      <c r="J15" s="40"/>
      <c r="Q15" s="40"/>
      <c r="R15" s="40"/>
      <c r="S15" s="40"/>
      <c r="T15" s="40"/>
      <c r="U15" s="40"/>
      <c r="V15" s="40"/>
    </row>
    <row r="16" spans="2:25" x14ac:dyDescent="0.3">
      <c r="I16" s="40"/>
      <c r="J16" s="40"/>
      <c r="Q16" s="40"/>
      <c r="R16" s="40"/>
      <c r="S16" s="40"/>
      <c r="T16" s="40"/>
      <c r="U16" s="40"/>
      <c r="V16" s="40"/>
    </row>
    <row r="18" spans="4:16" ht="14.4" customHeight="1" x14ac:dyDescent="0.3">
      <c r="D18" s="48" t="s">
        <v>37</v>
      </c>
      <c r="E18" s="48"/>
      <c r="F18" s="48"/>
      <c r="G18" s="48"/>
      <c r="H18" s="48"/>
      <c r="I18" s="48"/>
      <c r="K18" s="45" t="s">
        <v>39</v>
      </c>
      <c r="L18" s="45"/>
      <c r="M18" s="45"/>
      <c r="N18" s="45"/>
      <c r="O18" s="45"/>
      <c r="P18" s="45"/>
    </row>
    <row r="19" spans="4:16" ht="14.4" customHeight="1" x14ac:dyDescent="0.3">
      <c r="D19" s="48"/>
      <c r="E19" s="48"/>
      <c r="F19" s="48"/>
      <c r="G19" s="48"/>
      <c r="H19" s="48"/>
      <c r="I19" s="48"/>
      <c r="K19" s="45"/>
      <c r="L19" s="45"/>
      <c r="M19" s="45"/>
      <c r="N19" s="45"/>
      <c r="O19" s="45"/>
      <c r="P19" s="45"/>
    </row>
    <row r="20" spans="4:16" x14ac:dyDescent="0.3">
      <c r="K20" s="45"/>
      <c r="L20" s="45"/>
      <c r="M20" s="45"/>
      <c r="N20" s="45"/>
      <c r="O20" s="45"/>
      <c r="P20" s="45"/>
    </row>
  </sheetData>
  <mergeCells count="12">
    <mergeCell ref="L4:P4"/>
    <mergeCell ref="P5:P6"/>
    <mergeCell ref="D18:I19"/>
    <mergeCell ref="K18:P20"/>
    <mergeCell ref="B1:Y3"/>
    <mergeCell ref="D7:H13"/>
    <mergeCell ref="L5:O6"/>
    <mergeCell ref="D4:G6"/>
    <mergeCell ref="Q4:V6"/>
    <mergeCell ref="Q7:V16"/>
    <mergeCell ref="I7:J16"/>
    <mergeCell ref="H4:K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779DC-37A1-4247-BDB0-CF4837E9A48F}">
  <dimension ref="A1"/>
  <sheetViews>
    <sheetView workbookViewId="0">
      <selection activeCell="J39" sqref="J39"/>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FIRM WISE</vt:lpstr>
      <vt:lpstr>MONTH WISE</vt:lpstr>
      <vt:lpstr>TAX WISE</vt:lpstr>
      <vt:lpstr>PRODUCT WISE</vt:lpstr>
      <vt:lpstr>Sheet2</vt:lpstr>
      <vt:lpstr>DATA</vt:lpstr>
      <vt:lpstr>Sales Analysis Dasboard</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Daood</dc:creator>
  <cp:lastModifiedBy>ashish mudgal</cp:lastModifiedBy>
  <dcterms:created xsi:type="dcterms:W3CDTF">2020-04-22T22:10:47Z</dcterms:created>
  <dcterms:modified xsi:type="dcterms:W3CDTF">2025-07-11T12:33:38Z</dcterms:modified>
</cp:coreProperties>
</file>